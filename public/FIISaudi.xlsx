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yman\OneDrive\Desktop\"/>
    </mc:Choice>
  </mc:AlternateContent>
  <xr:revisionPtr revIDLastSave="0" documentId="13_ncr:1_{C697E710-6016-4E03-BCAF-96D8E4CF1F74}" xr6:coauthVersionLast="47" xr6:coauthVersionMax="47" xr10:uidLastSave="{00000000-0000-0000-0000-000000000000}"/>
  <bookViews>
    <workbookView xWindow="-120" yWindow="-120" windowWidth="29040" windowHeight="16440" activeTab="2" xr2:uid="{00000000-000D-0000-FFFF-FFFF00000000}"/>
  </bookViews>
  <sheets>
    <sheet name="FII" sheetId="2" r:id="rId1"/>
    <sheet name="FII2" sheetId="3" r:id="rId2"/>
    <sheet name="Info"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2" i="4" l="1"/>
  <c r="I764" i="3"/>
  <c r="I765" i="3"/>
  <c r="I766" i="3"/>
  <c r="I767" i="3"/>
  <c r="I768" i="3"/>
  <c r="I769" i="3"/>
  <c r="I3" i="3"/>
  <c r="I4" i="3"/>
  <c r="I5" i="3"/>
  <c r="I6" i="3"/>
  <c r="I7" i="3"/>
  <c r="I15" i="3"/>
  <c r="I16" i="3"/>
  <c r="I17" i="3"/>
  <c r="I18" i="3"/>
  <c r="I19" i="3"/>
  <c r="I63" i="3"/>
  <c r="I64" i="3"/>
  <c r="I65" i="3"/>
  <c r="I66" i="3"/>
  <c r="I67" i="3"/>
  <c r="I81" i="3"/>
  <c r="I82" i="3"/>
  <c r="I83" i="3"/>
  <c r="I84" i="3"/>
  <c r="I85" i="3"/>
  <c r="I87" i="3"/>
  <c r="I88" i="3"/>
  <c r="I89" i="3"/>
  <c r="I90" i="3"/>
  <c r="I91" i="3"/>
  <c r="I93" i="3"/>
  <c r="I94" i="3"/>
  <c r="I95" i="3"/>
  <c r="I96" i="3"/>
  <c r="I97" i="3"/>
  <c r="I105" i="3"/>
  <c r="I106" i="3"/>
  <c r="I107" i="3"/>
  <c r="I108" i="3"/>
  <c r="I109" i="3"/>
  <c r="I129" i="3"/>
  <c r="I130" i="3"/>
  <c r="I131" i="3"/>
  <c r="I132" i="3"/>
  <c r="I133" i="3"/>
  <c r="I135" i="3"/>
  <c r="I136" i="3"/>
  <c r="I137" i="3"/>
  <c r="I138" i="3"/>
  <c r="I139" i="3"/>
  <c r="I141" i="3"/>
  <c r="I142" i="3"/>
  <c r="I147" i="3"/>
  <c r="I148" i="3"/>
  <c r="I149" i="3"/>
  <c r="I150" i="3"/>
  <c r="I153" i="3"/>
  <c r="I154" i="3"/>
  <c r="I155" i="3"/>
  <c r="I156" i="3"/>
  <c r="I157" i="3"/>
  <c r="I159" i="3"/>
  <c r="I160" i="3"/>
  <c r="I161" i="3"/>
  <c r="I162" i="3"/>
  <c r="I163" i="3"/>
  <c r="I165" i="3"/>
  <c r="I166" i="3"/>
  <c r="I167" i="3"/>
  <c r="I168" i="3"/>
  <c r="I169" i="3"/>
  <c r="I177" i="3"/>
  <c r="I178" i="3"/>
  <c r="I179" i="3"/>
  <c r="I180" i="3"/>
  <c r="I181" i="3"/>
  <c r="I189" i="3"/>
  <c r="I190" i="3"/>
  <c r="I191" i="3"/>
  <c r="I192" i="3"/>
  <c r="I193" i="3"/>
  <c r="I195" i="3"/>
  <c r="I196" i="3"/>
  <c r="I197" i="3"/>
  <c r="I198" i="3"/>
  <c r="I199" i="3"/>
  <c r="I201" i="3"/>
  <c r="I202" i="3"/>
  <c r="I203" i="3"/>
  <c r="I204" i="3"/>
  <c r="I205" i="3"/>
  <c r="I207" i="3"/>
  <c r="I208" i="3"/>
  <c r="I209" i="3"/>
  <c r="I210" i="3"/>
  <c r="I213" i="3"/>
  <c r="I214" i="3"/>
  <c r="I215" i="3"/>
  <c r="I216" i="3"/>
  <c r="I217" i="3"/>
  <c r="I225" i="3"/>
  <c r="I226" i="3"/>
  <c r="I227" i="3"/>
  <c r="I228" i="3"/>
  <c r="I231" i="3"/>
  <c r="I232" i="3"/>
  <c r="I233" i="3"/>
  <c r="I234" i="3"/>
  <c r="I235" i="3"/>
  <c r="I237" i="3"/>
  <c r="I238" i="3"/>
  <c r="I239" i="3"/>
  <c r="I240" i="3"/>
  <c r="I241" i="3"/>
  <c r="I243" i="3"/>
  <c r="I244" i="3"/>
  <c r="I245" i="3"/>
  <c r="I246" i="3"/>
  <c r="I247" i="3"/>
  <c r="I249" i="3"/>
  <c r="I250" i="3"/>
  <c r="I251" i="3"/>
  <c r="I252" i="3"/>
  <c r="I253" i="3"/>
  <c r="I255" i="3"/>
  <c r="I256" i="3"/>
  <c r="I257" i="3"/>
  <c r="I258" i="3"/>
  <c r="I259" i="3"/>
  <c r="I267" i="3"/>
  <c r="I268" i="3"/>
  <c r="I269" i="3"/>
  <c r="I270" i="3"/>
  <c r="I271" i="3"/>
  <c r="I273" i="3"/>
  <c r="I274" i="3"/>
  <c r="I275" i="3"/>
  <c r="I276" i="3"/>
  <c r="I277" i="3"/>
  <c r="I291" i="3"/>
  <c r="I292" i="3"/>
  <c r="I293" i="3"/>
  <c r="I294" i="3"/>
  <c r="I295" i="3"/>
  <c r="I297" i="3"/>
  <c r="I298" i="3"/>
  <c r="I299" i="3"/>
  <c r="I300" i="3"/>
  <c r="I303" i="3"/>
  <c r="I304" i="3"/>
  <c r="I305" i="3"/>
  <c r="I306" i="3"/>
  <c r="I307" i="3"/>
  <c r="I309" i="3"/>
  <c r="I310" i="3"/>
  <c r="I311" i="3"/>
  <c r="I312" i="3"/>
  <c r="I313" i="3"/>
  <c r="I315" i="3"/>
  <c r="I316" i="3"/>
  <c r="I317" i="3"/>
  <c r="I318" i="3"/>
  <c r="I319" i="3"/>
  <c r="I327" i="3"/>
  <c r="I328" i="3"/>
  <c r="I329" i="3"/>
  <c r="I330" i="3"/>
  <c r="I331" i="3"/>
  <c r="I333" i="3"/>
  <c r="I334" i="3"/>
  <c r="I335" i="3"/>
  <c r="I336" i="3"/>
  <c r="I337" i="3"/>
  <c r="I339" i="3"/>
  <c r="I340" i="3"/>
  <c r="I341" i="3"/>
  <c r="I342" i="3"/>
  <c r="I343" i="3"/>
  <c r="I345" i="3"/>
  <c r="I346" i="3"/>
  <c r="I347" i="3"/>
  <c r="I348" i="3"/>
  <c r="I349" i="3"/>
  <c r="I351" i="3"/>
  <c r="I352" i="3"/>
  <c r="I353" i="3"/>
  <c r="I354" i="3"/>
  <c r="I357" i="3"/>
  <c r="I358" i="3"/>
  <c r="I359" i="3"/>
  <c r="I360" i="3"/>
  <c r="I361" i="3"/>
  <c r="I363" i="3"/>
  <c r="I364" i="3"/>
  <c r="I365" i="3"/>
  <c r="I366" i="3"/>
  <c r="I369" i="3"/>
  <c r="I370" i="3"/>
  <c r="I371" i="3"/>
  <c r="I372" i="3"/>
  <c r="I373" i="3"/>
  <c r="I381" i="3"/>
  <c r="I382" i="3"/>
  <c r="I383" i="3"/>
  <c r="I384" i="3"/>
  <c r="I387" i="3"/>
  <c r="I388" i="3"/>
  <c r="I389" i="3"/>
  <c r="I390" i="3"/>
  <c r="I391" i="3"/>
  <c r="I393" i="3"/>
  <c r="I394" i="3"/>
  <c r="I395" i="3"/>
  <c r="I396" i="3"/>
  <c r="I397" i="3"/>
  <c r="I399" i="3"/>
  <c r="I400" i="3"/>
  <c r="I401" i="3"/>
  <c r="I402" i="3"/>
  <c r="I403" i="3"/>
  <c r="I405" i="3"/>
  <c r="I406" i="3"/>
  <c r="I407" i="3"/>
  <c r="I408" i="3"/>
  <c r="I409" i="3"/>
  <c r="I417" i="3"/>
  <c r="I418" i="3"/>
  <c r="I419" i="3"/>
  <c r="I420" i="3"/>
  <c r="I421" i="3"/>
  <c r="I423" i="3"/>
  <c r="I424" i="3"/>
  <c r="I425" i="3"/>
  <c r="I426" i="3"/>
  <c r="I427" i="3"/>
  <c r="I441" i="3"/>
  <c r="I442" i="3"/>
  <c r="I443" i="3"/>
  <c r="I444" i="3"/>
  <c r="I445" i="3"/>
  <c r="I447" i="3"/>
  <c r="I448" i="3"/>
  <c r="I449" i="3"/>
  <c r="I450" i="3"/>
  <c r="I453" i="3"/>
  <c r="I454" i="3"/>
  <c r="I455" i="3"/>
  <c r="I456" i="3"/>
  <c r="I457" i="3"/>
  <c r="I477" i="3"/>
  <c r="I478" i="3"/>
  <c r="I479" i="3"/>
  <c r="I480" i="3"/>
  <c r="I481" i="3"/>
  <c r="I501" i="3"/>
  <c r="I502" i="3"/>
  <c r="I503" i="3"/>
  <c r="I504" i="3"/>
  <c r="I505" i="3"/>
  <c r="I507" i="3"/>
  <c r="I508" i="3"/>
  <c r="I509" i="3"/>
  <c r="I510" i="3"/>
  <c r="I511" i="3"/>
  <c r="I513" i="3"/>
  <c r="I514" i="3"/>
  <c r="I515" i="3"/>
  <c r="I516" i="3"/>
  <c r="I517" i="3"/>
  <c r="I525" i="3"/>
  <c r="I526" i="3"/>
  <c r="I527" i="3"/>
  <c r="I528" i="3"/>
  <c r="I529" i="3"/>
  <c r="I531" i="3"/>
  <c r="I532" i="3"/>
  <c r="I533" i="3"/>
  <c r="I534" i="3"/>
  <c r="I535" i="3"/>
  <c r="I537" i="3"/>
  <c r="I538" i="3"/>
  <c r="I539" i="3"/>
  <c r="I540" i="3"/>
  <c r="I541" i="3"/>
  <c r="I543" i="3"/>
  <c r="I544" i="3"/>
  <c r="I545" i="3"/>
  <c r="I546" i="3"/>
  <c r="I547" i="3"/>
  <c r="I555" i="3"/>
  <c r="I556" i="3"/>
  <c r="I557" i="3"/>
  <c r="I558" i="3"/>
  <c r="I559" i="3"/>
  <c r="I569" i="3"/>
  <c r="I570" i="3"/>
  <c r="I571" i="3"/>
  <c r="I579" i="3"/>
  <c r="I580" i="3"/>
  <c r="I581" i="3"/>
  <c r="I591" i="3"/>
  <c r="I592" i="3"/>
  <c r="I593" i="3"/>
  <c r="I594" i="3"/>
  <c r="I595" i="3"/>
  <c r="I597" i="3"/>
  <c r="I598" i="3"/>
  <c r="I599" i="3"/>
  <c r="I600" i="3"/>
  <c r="I603" i="3"/>
  <c r="I604" i="3"/>
  <c r="I605" i="3"/>
  <c r="I606" i="3"/>
  <c r="I607" i="3"/>
  <c r="I615" i="3"/>
  <c r="I616" i="3"/>
  <c r="I617" i="3"/>
  <c r="I618" i="3"/>
  <c r="I619" i="3"/>
  <c r="I633" i="3"/>
  <c r="I634" i="3"/>
  <c r="I635" i="3"/>
  <c r="I636" i="3"/>
  <c r="I637" i="3"/>
  <c r="I645" i="3"/>
  <c r="I646" i="3"/>
  <c r="I647" i="3"/>
  <c r="I648" i="3"/>
  <c r="I649" i="3"/>
  <c r="I654" i="3"/>
  <c r="I655" i="3"/>
  <c r="I663" i="3"/>
  <c r="I664" i="3"/>
  <c r="I665" i="3"/>
  <c r="I666" i="3"/>
  <c r="I667" i="3"/>
  <c r="I669" i="3"/>
  <c r="I670" i="3"/>
  <c r="I671" i="3"/>
  <c r="I672" i="3"/>
  <c r="I673" i="3"/>
  <c r="I675" i="3"/>
  <c r="I676" i="3"/>
  <c r="I677" i="3"/>
  <c r="I678" i="3"/>
  <c r="I679" i="3"/>
  <c r="I681" i="3"/>
  <c r="I682" i="3"/>
  <c r="I683" i="3"/>
  <c r="I684" i="3"/>
  <c r="I685" i="3"/>
  <c r="I693" i="3"/>
  <c r="I694" i="3"/>
  <c r="I695" i="3"/>
  <c r="I696" i="3"/>
  <c r="I697" i="3"/>
  <c r="I699" i="3"/>
  <c r="I700" i="3"/>
  <c r="I701" i="3"/>
  <c r="I702" i="3"/>
  <c r="I703" i="3"/>
  <c r="I705" i="3"/>
  <c r="I706" i="3"/>
  <c r="I707" i="3"/>
  <c r="I708" i="3"/>
  <c r="I719" i="3"/>
  <c r="I720" i="3"/>
  <c r="I721" i="3"/>
  <c r="I730" i="3"/>
  <c r="I731" i="3"/>
  <c r="I741" i="3"/>
  <c r="I742" i="3"/>
  <c r="I743" i="3"/>
  <c r="I744" i="3"/>
  <c r="I745" i="3"/>
  <c r="I3" i="2"/>
  <c r="I4" i="2"/>
  <c r="I5" i="2"/>
  <c r="I6" i="2"/>
  <c r="I7" i="2"/>
  <c r="I9" i="2"/>
  <c r="I10" i="2"/>
  <c r="I11" i="2"/>
  <c r="I12" i="2"/>
  <c r="I13" i="2"/>
  <c r="I15" i="2"/>
  <c r="I16" i="2"/>
  <c r="I17" i="2"/>
  <c r="I18" i="2"/>
  <c r="I19" i="2"/>
  <c r="I21" i="2"/>
  <c r="I22" i="2"/>
  <c r="I23" i="2"/>
  <c r="I24" i="2"/>
  <c r="I25" i="2"/>
  <c r="I27" i="2"/>
  <c r="I28" i="2"/>
  <c r="I29" i="2"/>
  <c r="I30" i="2"/>
  <c r="I31" i="2"/>
  <c r="I33" i="2"/>
  <c r="I34" i="2"/>
  <c r="I35" i="2"/>
  <c r="I36" i="2"/>
  <c r="I37" i="2"/>
  <c r="I39" i="2"/>
  <c r="I40" i="2"/>
  <c r="I41" i="2"/>
  <c r="I42" i="2"/>
  <c r="I43" i="2"/>
  <c r="I45" i="2"/>
  <c r="I46" i="2"/>
  <c r="I47" i="2"/>
  <c r="I48" i="2"/>
  <c r="I51" i="2"/>
  <c r="I52" i="2"/>
  <c r="I53" i="2"/>
  <c r="I54" i="2"/>
  <c r="I55" i="2"/>
  <c r="I57" i="2"/>
  <c r="I58" i="2"/>
  <c r="I59" i="2"/>
  <c r="I60" i="2"/>
  <c r="I61" i="2"/>
  <c r="I63" i="2"/>
  <c r="I64" i="2"/>
  <c r="I65" i="2"/>
  <c r="I66" i="2"/>
  <c r="I67" i="2"/>
  <c r="I69" i="2"/>
  <c r="I70" i="2"/>
  <c r="I71" i="2"/>
  <c r="I72" i="2"/>
  <c r="I73" i="2"/>
  <c r="I75" i="2"/>
  <c r="I76" i="2"/>
  <c r="I77" i="2"/>
  <c r="I78" i="2"/>
  <c r="I79" i="2"/>
  <c r="I81" i="2"/>
  <c r="I82" i="2"/>
  <c r="I83" i="2"/>
  <c r="I84" i="2"/>
  <c r="I85" i="2"/>
  <c r="I87" i="2"/>
  <c r="I88" i="2"/>
  <c r="I89" i="2"/>
  <c r="I93" i="2"/>
  <c r="I94" i="2"/>
  <c r="I99" i="2"/>
  <c r="I100" i="2"/>
  <c r="I101" i="2"/>
  <c r="I102" i="2"/>
  <c r="I103" i="2"/>
  <c r="I105" i="2"/>
  <c r="I106" i="2"/>
  <c r="I107" i="2"/>
  <c r="I108" i="2"/>
  <c r="I109" i="2"/>
  <c r="I111" i="2"/>
  <c r="I112" i="2"/>
  <c r="I113" i="2"/>
  <c r="I114" i="2"/>
  <c r="I115" i="2"/>
  <c r="I117" i="2"/>
  <c r="I118" i="2"/>
  <c r="I119" i="2"/>
  <c r="I120" i="2"/>
  <c r="I121" i="2"/>
  <c r="I123" i="2"/>
  <c r="I124" i="2"/>
  <c r="I125" i="2"/>
  <c r="I126" i="2"/>
  <c r="I127" i="2"/>
  <c r="I129" i="2"/>
  <c r="I130" i="2"/>
  <c r="I131" i="2"/>
  <c r="I132" i="2"/>
  <c r="I133" i="2"/>
  <c r="I135" i="2"/>
  <c r="I136" i="2"/>
  <c r="I137" i="2"/>
  <c r="I138" i="2"/>
  <c r="I141" i="2"/>
  <c r="I142" i="2"/>
  <c r="I143" i="2"/>
  <c r="I144" i="2"/>
  <c r="I145" i="2"/>
  <c r="I147" i="2"/>
  <c r="I148" i="2"/>
  <c r="I149" i="2"/>
  <c r="I150" i="2"/>
  <c r="I151" i="2"/>
  <c r="I153" i="2"/>
  <c r="I154" i="2"/>
  <c r="I155" i="2"/>
  <c r="I156" i="2"/>
  <c r="I157" i="2"/>
  <c r="I159" i="2"/>
  <c r="I160" i="2"/>
  <c r="I161" i="2"/>
  <c r="I162" i="2"/>
  <c r="I163" i="2"/>
  <c r="I165" i="2"/>
  <c r="I166" i="2"/>
  <c r="I167" i="2"/>
  <c r="I168" i="2"/>
  <c r="I169" i="2"/>
  <c r="I171" i="2"/>
  <c r="I172" i="2"/>
  <c r="I173" i="2"/>
  <c r="I174" i="2"/>
  <c r="I175" i="2"/>
  <c r="I177" i="2"/>
  <c r="I178" i="2"/>
  <c r="I179" i="2"/>
  <c r="I180" i="2"/>
  <c r="I181" i="2"/>
  <c r="I183" i="2"/>
  <c r="I184" i="2"/>
  <c r="I185" i="2"/>
  <c r="I186" i="2"/>
  <c r="I189" i="2"/>
  <c r="I190" i="2"/>
  <c r="I191" i="2"/>
  <c r="I192" i="2"/>
  <c r="I195" i="2"/>
  <c r="I196" i="2"/>
  <c r="I197" i="2"/>
  <c r="I198" i="2"/>
  <c r="I199" i="2"/>
  <c r="I201" i="2"/>
  <c r="I202" i="2"/>
  <c r="I203" i="2"/>
  <c r="I204" i="2"/>
  <c r="I205" i="2"/>
  <c r="I207" i="2"/>
  <c r="I208" i="2"/>
  <c r="I209" i="2"/>
  <c r="I210" i="2"/>
  <c r="I211" i="2"/>
  <c r="I213" i="2"/>
  <c r="I214" i="2"/>
  <c r="I215" i="2"/>
  <c r="I216" i="2"/>
  <c r="I217" i="2"/>
  <c r="I219" i="2"/>
  <c r="I220" i="2"/>
  <c r="I221" i="2"/>
  <c r="I222" i="2"/>
  <c r="I223" i="2"/>
  <c r="I225" i="2"/>
  <c r="I226" i="2"/>
  <c r="I227" i="2"/>
  <c r="I228" i="2"/>
  <c r="I229" i="2"/>
  <c r="I231" i="2"/>
  <c r="I232" i="2"/>
  <c r="I233" i="2"/>
  <c r="I237" i="2"/>
  <c r="I238" i="2"/>
  <c r="I239" i="2"/>
  <c r="I240" i="2"/>
  <c r="I243" i="2"/>
  <c r="I244" i="2"/>
  <c r="I245" i="2"/>
  <c r="I246" i="2"/>
  <c r="I249" i="2"/>
  <c r="I250" i="2"/>
  <c r="I251" i="2"/>
  <c r="I252" i="2"/>
  <c r="I253" i="2"/>
  <c r="I255" i="2"/>
  <c r="I256" i="2"/>
  <c r="I257" i="2"/>
  <c r="I258" i="2"/>
  <c r="I259" i="2"/>
  <c r="I261" i="2"/>
  <c r="I262" i="2"/>
  <c r="I263" i="2"/>
  <c r="I264" i="2"/>
  <c r="I265" i="2"/>
  <c r="I267" i="2"/>
  <c r="I268" i="2"/>
  <c r="I269" i="2"/>
  <c r="I270" i="2"/>
  <c r="I271" i="2"/>
  <c r="I273" i="2"/>
  <c r="I274" i="2"/>
  <c r="I275" i="2"/>
  <c r="I276" i="2"/>
  <c r="I277" i="2"/>
  <c r="I279" i="2"/>
  <c r="I280" i="2"/>
  <c r="I281" i="2"/>
  <c r="I282" i="2"/>
  <c r="I285" i="2"/>
  <c r="I286" i="2"/>
  <c r="I287" i="2"/>
  <c r="I288" i="2"/>
  <c r="I289" i="2"/>
</calcChain>
</file>

<file path=xl/sharedStrings.xml><?xml version="1.0" encoding="utf-8"?>
<sst xmlns="http://schemas.openxmlformats.org/spreadsheetml/2006/main" count="16575" uniqueCount="127">
  <si>
    <t>Group</t>
  </si>
  <si>
    <t>المجموعة</t>
  </si>
  <si>
    <t>Country</t>
  </si>
  <si>
    <t>الدولة</t>
  </si>
  <si>
    <t>Year</t>
  </si>
  <si>
    <t>G20</t>
  </si>
  <si>
    <t>دول مجموعة العشرين</t>
  </si>
  <si>
    <t>Saudi Arabia</t>
  </si>
  <si>
    <t>المملكة العربية السعودية</t>
  </si>
  <si>
    <t>Argentina</t>
  </si>
  <si>
    <t>الأرجنتين</t>
  </si>
  <si>
    <t>Australia</t>
  </si>
  <si>
    <t>أستراليا</t>
  </si>
  <si>
    <t>Brazil</t>
  </si>
  <si>
    <t>البرازيل</t>
  </si>
  <si>
    <t>Canada</t>
  </si>
  <si>
    <t>كندا</t>
  </si>
  <si>
    <t>China</t>
  </si>
  <si>
    <t>الصين</t>
  </si>
  <si>
    <t>France</t>
  </si>
  <si>
    <t>فرنسا</t>
  </si>
  <si>
    <t>Germany</t>
  </si>
  <si>
    <t>ألمانيا</t>
  </si>
  <si>
    <t>India</t>
  </si>
  <si>
    <t>الهند</t>
  </si>
  <si>
    <t>Indonesia</t>
  </si>
  <si>
    <t>إندونيسيا</t>
  </si>
  <si>
    <t>Italy</t>
  </si>
  <si>
    <t>إيطاليا</t>
  </si>
  <si>
    <t>Japan</t>
  </si>
  <si>
    <t>اليابان</t>
  </si>
  <si>
    <t>Republic of Korea</t>
  </si>
  <si>
    <t>جمهورية كوريا</t>
  </si>
  <si>
    <t>Mexico</t>
  </si>
  <si>
    <t>المكسيك</t>
  </si>
  <si>
    <t>Russia</t>
  </si>
  <si>
    <t>روسيا</t>
  </si>
  <si>
    <t>South Africa</t>
  </si>
  <si>
    <t>جنوب أفريقيا</t>
  </si>
  <si>
    <t xml:space="preserve"> Türkiye</t>
  </si>
  <si>
    <t>تركيا</t>
  </si>
  <si>
    <t>United Kingdom</t>
  </si>
  <si>
    <t>المملكة المتحدة</t>
  </si>
  <si>
    <t>United States Of America</t>
  </si>
  <si>
    <t>الولايات المتحدة الأمريكية</t>
  </si>
  <si>
    <t>GCC</t>
  </si>
  <si>
    <t>دول مجلس التعاون الخليجي</t>
  </si>
  <si>
    <t>Bahrain</t>
  </si>
  <si>
    <t>البحرين</t>
  </si>
  <si>
    <t>Kuwait</t>
  </si>
  <si>
    <t>الكويت</t>
  </si>
  <si>
    <t>Oman</t>
  </si>
  <si>
    <t>عُمان</t>
  </si>
  <si>
    <t>Qatar</t>
  </si>
  <si>
    <t>قطر</t>
  </si>
  <si>
    <t>United Arab Emirates</t>
  </si>
  <si>
    <t>الإمارات العربية المتحدة</t>
  </si>
  <si>
    <t>Number of automated teller machines (ATMs)</t>
  </si>
  <si>
    <t>Indicator</t>
  </si>
  <si>
    <t>المؤشر</t>
  </si>
  <si>
    <t>No.Per100,000Adults</t>
  </si>
  <si>
    <t>عدد أجهزة الصراف الآلي (ATMs)</t>
  </si>
  <si>
    <t>Change</t>
  </si>
  <si>
    <t>Index Group</t>
  </si>
  <si>
    <t>مجموعة المؤشر</t>
  </si>
  <si>
    <t>Number of commercial bank branches</t>
  </si>
  <si>
    <t>عدد فروع البنوك التجارية</t>
  </si>
  <si>
    <t>Financial Inclusion Indicators</t>
  </si>
  <si>
    <t>مؤشرات الشمول المالي</t>
  </si>
  <si>
    <t>15.02406364486254</t>
  </si>
  <si>
    <t>14.285571292025</t>
  </si>
  <si>
    <t>13.5740244244837</t>
  </si>
  <si>
    <t>12.89363376941866</t>
  </si>
  <si>
    <t>12.70001381427875</t>
  </si>
  <si>
    <t>12.39360106450143</t>
  </si>
  <si>
    <t>199.7770164283226</t>
  </si>
  <si>
    <t>199.8086600949718</t>
  </si>
  <si>
    <t>191.231924736174</t>
  </si>
  <si>
    <t>181.5743125542599</t>
  </si>
  <si>
    <t>151.9136109341748</t>
  </si>
  <si>
    <t>145.7299994079387</t>
  </si>
  <si>
    <t>ALL</t>
  </si>
  <si>
    <t>جميع الدول</t>
  </si>
  <si>
    <t>Number of borrowers, Commercial banks</t>
  </si>
  <si>
    <t>No.Per1000Adults</t>
  </si>
  <si>
    <t>عدد المقترضين، البنوك التجارية</t>
  </si>
  <si>
    <t>Number of credit cards</t>
  </si>
  <si>
    <t>عدد بطاقات الائتمان</t>
  </si>
  <si>
    <t>Number of debit cards</t>
  </si>
  <si>
    <t>عدد بطاقات الخصم المباشر</t>
  </si>
  <si>
    <t>Number of deposit accounts, Commercial banks</t>
  </si>
  <si>
    <t>عدد حسابات الودائع، البنوك التجارية</t>
  </si>
  <si>
    <t>Number of mobile and internet banking transactions (during the reference year)</t>
  </si>
  <si>
    <t>عدد معاملات الخدمات المصرفية عبر الهاتف المحمول والإنترنت (خلال سنة الأساس)</t>
  </si>
  <si>
    <t>Definition</t>
  </si>
  <si>
    <t>التعريف</t>
  </si>
  <si>
    <t>**</t>
  </si>
  <si>
    <t>مُؤَشِّرَاتُ الشّمُولِ الْمَالِيِّ</t>
  </si>
  <si>
    <t>are a set of measurable metrics used to assess the availability, usage, and quality of financial services within a population. These indicators move beyond simple binary measures of having an account to paint a more nuanced picture of how individuals and businesses interact with the formal financial system.</t>
  </si>
  <si>
    <t>تُعَدُّ مَجْمُوعَةً مِنَ الْمَقَايِيسِ الْقَابِلَةِ لِلْقِيَاسِ تُسْتَخْدَمُ لِتَقْيِيمِ وَفْرَةِ الْخِدْمَاتِ الْمَالِيَّةِ وَاسْتِخْدَامِهَا وَجَوْدَتِهَا دَاخِلَ الْمُجْتَمَعِ. تَتَجَاوَزُ هَذِهِ الْمُؤَشِّرَاتُ الْمَقَايِيسَ الثُّنَائِيَّةَ الْبَسِيطَةَ (مِثْلَ مُجَرَّدِ وُجُودِ حِسَابٍ بَنْكِيٍّ) لِتَرْسَمَ صُورَةً أَكْثَرَ دَقَّةً عَنْ كَيْفِيَّةِ تَفَاعُلِ الْأَفْرَادِ وَالْمُؤَسَّسَاتِ مَعَ النِّظَامِ الْمَالِيِّ الرَّسْمِيِّ.</t>
  </si>
  <si>
    <t>Automated Teller Machine (ATM) Density</t>
  </si>
  <si>
    <t>*</t>
  </si>
  <si>
    <t>Automated teller machines (ATMs) (per 100,000 adults)</t>
  </si>
  <si>
    <t>مَاكِينَاتُ الصَّرَّافِ الْآلِيِّ (لِكُلِّ 100,000 بَالِغٍ)</t>
  </si>
  <si>
    <t>ATM Availability per 100,000 Adults</t>
  </si>
  <si>
    <t>It measures the number of automated teller machines (ATMs) available per 100,000 adults and is an important indicator of the extent and penetration rate of digital financial services and banking infrastructure.</t>
  </si>
  <si>
    <t>تَقِيسُ عَدَدَ مَاكِينَاتِ الصَّرَّافِ الْآلِيِّ الْمُتَوَافِرَةِ لِكُلِّ مِائَةِ أَلْفِ شَخْصٍ بَالِغٍ، وَتُعَدُّ دَلِيلًا هَامًّا عَلَى مَدَى تَوَسُّعِ وَمُعَدَّلِ انْتِشَارِ الْخِدْمَاتِ الْمَالِيَّةِ الرَّقْمِيَّةِ وَالْبُنْيَةِ التَّحْتِيَّةِ الْمَصْرَفِيَّةِ.</t>
  </si>
  <si>
    <t>Community Bank Access (per 100,000 adults)</t>
  </si>
  <si>
    <t xml:space="preserve"> Commercial Bank Branches (per 100,000 adults)</t>
  </si>
  <si>
    <t>فُرُوعُ الْبُنُوكِ التِّجَارِيَّةِ (لِكُلِّ 100,000 شَخْصٍ بَالِغٍ)</t>
  </si>
  <si>
    <t>Commercial Bank Branch Density</t>
  </si>
  <si>
    <t>The indicator measures the density of commercial bank branches and is a key measure of the availability and accessibility of formal financial services.</t>
  </si>
  <si>
    <t>يَقِيسُ الْمُؤَشِّرُ مُعَدَّلَ انْتِشَارِ فُرُوعِ الْمَصَارِفِ التِّجَارِيَّةِ وَيُعَدُّ مُؤَشِّرًا رَئِيسِيًّا عَلَى وَفْرَةِ الْخِدْمَاتِ الْمَالِيَّةِ الرَّسْمِيَّةِ وَسُهُولَةِ الْوُصُولِ إِلَيْهَا.</t>
  </si>
  <si>
    <t>The total count of unique individuals or legal entities (businesses, organizations, etc.) that have one or more outstanding loans or lines of credit with commercial banks at a specific point in time. This figure represents the bank's active client base for credit services.</t>
  </si>
  <si>
    <t>إجمالي عدد الأفراد أو الكيانات القانونية (مثل الشركات والمؤسسات) الفريدة التي لديها قرض أو أكثر قائم، أو خط ائتمان مفتوح، لدى البنوك التجارية في نقطة زمنية محددة. يمثل هذا الرقم قاعدة العملاء النشطين للبنك في مجال الخدمات الائتمانية.</t>
  </si>
  <si>
    <t>The total quantity of active credit cards issued by financial institutions to cardholders. These are payment cards that allow users to borrow funds for transactions, with an obligation to repay the borrowed amount along with any applicable interest or fees.</t>
  </si>
  <si>
    <t>الكمية الإجمالية لبطاقات الائتمان النشطة الصادرة من المؤسسات المالية إلى حاملي البطاقات. هذه البطاقات تمكن المستخدمين من اقتراض الأموال لإجراء المعاملات، مع الالتزام بسداد المبلغ المقترض بالإضافة إلى أي فوائد أو رسوم.</t>
  </si>
  <si>
    <t>The total quantity of active debit cards issued by financial institutions to accountholders. These are payment cards that draw funds directly from the user's linked bank account (e.g., checking or current account) to pay for transactions, without involving any borrowing.</t>
  </si>
  <si>
    <t>الكمية الإجمالية لبطاقات الخصم النشطة الصادرة من المؤسسات المالية إلى أصحاب الحسابات. هذه البطاقات تمكن المستخدمين من سداد المعاملات بخصم الأموال مباشرة من الحساب البنكي المرتبط (مثل الحساب الجاري)، دون الحاجة إلى أي عملية اقتراض.</t>
  </si>
  <si>
    <t>The total count of active accounts held by individuals and entities at commercial banks where customers can deposit and store money. These include savings accounts, current/checking accounts, fixed-term deposits, and other similar account types where funds are held for safekeeping and/or to earn interest.</t>
  </si>
  <si>
    <t>إجمالي عدد الحسابات النشطة المفتوحة للأفراد والكيانات في البنوك التجارية، والتي يمكن للعملاء من خلالها إيداع وحفظ الأموال. تشمل هذه الحسابات حسابات التوفير، والحسابات الجارية، والودائع لأجل، وأنواع الحسابات المماثلة الأخرى التي تحفظ فيها الأموال بغرض الحفظ و/أو كسب الفائدة.</t>
  </si>
  <si>
    <t>The total count of all financial and non-financial operations conducted by customers through mobile banking applications and internet banking platforms over a specified reference year. This includes activities such as funds transfers, bill payments, account inquiries, and other digital banking services.</t>
  </si>
  <si>
    <t>إجمالي عدد العمليات المالية وغير المالية التي أجراها العملاء من خلال تطبيقات الخدمات المصرفية على الهواتف المحمولة ومنصات الإنترنت المصرفية خلال سنة الأساس المحددة. يشمل ذلك أنشطة مثل التحويلات المالية، ودفع الفواتير، واستعلامات الحساب، وغيرها من الخدمات المصرفية الرقمية.</t>
  </si>
  <si>
    <t>The Financial Access Survey (FAS) dataset includes annual statistics on financial service access and usage. Selected data series are disaggregated by gender (male and female), the type of financial service provider (e.g., commercial banks, credit unions, and microfinance institutions) and the type of customer (e.g., households and SMEs).</t>
  </si>
  <si>
    <t>Financial Access Survey (FAS)</t>
  </si>
  <si>
    <t>Source</t>
  </si>
  <si>
    <t>https://data.imf.org/en/Search-Results#q=financial%20inclusion&amp;t=coveoa1cfcb19&amp;sort=relevancy&amp;numberOfResults=25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</si>
</sst>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u/>
      <sz val="11"/>
      <color theme="10"/>
      <name val="Calibri"/>
      <family val="2"/>
      <scheme val="minor"/>
    </font>
    <font>
      <sz val="22"/>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0" fillId="0" borderId="0" xfId="0" quotePrefix="1" applyAlignment="1">
      <alignment vertical="center"/>
    </xf>
    <xf numFmtId="0" fontId="0" fillId="0" borderId="0" xfId="0" applyAlignment="1">
      <alignment vertical="center"/>
    </xf>
    <xf numFmtId="0" fontId="0" fillId="2" borderId="0" xfId="0" quotePrefix="1" applyFill="1" applyAlignment="1">
      <alignment vertical="center"/>
    </xf>
    <xf numFmtId="0" fontId="0" fillId="0" borderId="1" xfId="0" applyBorder="1"/>
    <xf numFmtId="0" fontId="0" fillId="0" borderId="1" xfId="0" applyBorder="1" applyAlignment="1">
      <alignment vertical="center"/>
    </xf>
    <xf numFmtId="0" fontId="0" fillId="0" borderId="0" xfId="0" applyBorder="1"/>
    <xf numFmtId="0" fontId="0" fillId="0" borderId="0" xfId="0" quotePrefix="1" applyBorder="1" applyAlignment="1">
      <alignment vertical="center"/>
    </xf>
    <xf numFmtId="0" fontId="0" fillId="0" borderId="0" xfId="0" quotePrefix="1" applyNumberFormat="1" applyAlignment="1">
      <alignment vertical="center"/>
    </xf>
    <xf numFmtId="0" fontId="0" fillId="0" borderId="0" xfId="0" applyNumberFormat="1"/>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2" borderId="0" xfId="0" applyFill="1"/>
    <xf numFmtId="0" fontId="0" fillId="0" borderId="0" xfId="0" applyAlignment="1">
      <alignment horizontal="center"/>
    </xf>
    <xf numFmtId="0" fontId="3" fillId="0" borderId="0" xfId="0" applyFont="1"/>
    <xf numFmtId="0" fontId="2" fillId="0" borderId="0" xfId="1"/>
  </cellXfs>
  <cellStyles count="2">
    <cellStyle name="Hyperlink" xfId="1" builtinId="8"/>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346E0F-1FCD-4273-8C80-5E2A42708497}" name="_FIIPer100000" displayName="_FIIPer100000" ref="A1:K589" totalsRowShown="0">
  <autoFilter ref="A1:K589" xr:uid="{06346E0F-1FCD-4273-8C80-5E2A42708497}">
    <filterColumn colId="0">
      <filters>
        <filter val="ALL"/>
      </filters>
    </filterColumn>
  </autoFilter>
  <tableColumns count="11">
    <tableColumn id="1" xr3:uid="{35F7BCE0-00E4-4F06-AC61-DFDD785FCEC2}" name="Group"/>
    <tableColumn id="2" xr3:uid="{B2305F56-D9B9-4DB5-BD55-A9BA7DE18F9C}" name="المجموعة"/>
    <tableColumn id="3" xr3:uid="{1695FCCC-1478-4E21-BA63-6EF9772D93F6}" name="Country"/>
    <tableColumn id="4" xr3:uid="{FF446062-0C90-4C50-960F-37B10B8189BE}" name="الدولة"/>
    <tableColumn id="5" xr3:uid="{5E84C97F-296A-4E16-BB2B-500A783C0728}" name="Year"/>
    <tableColumn id="6" xr3:uid="{AEE6D91D-B9C7-435D-A1B0-D54612F681F1}" name="Indicator"/>
    <tableColumn id="7" xr3:uid="{7D6959F6-4E53-4768-93B0-44AB42A9AD83}" name="المؤشر"/>
    <tableColumn id="8" xr3:uid="{207D99EB-09C9-4CE7-82C7-73D3714CE796}" name="No.Per100,000Adults"/>
    <tableColumn id="9" xr3:uid="{8F06200D-C0B4-4BF4-94F4-2198D68E320B}" name="Change" dataDxfId="1">
      <calculatedColumnFormula>_FIIPer100000[[#This Row],[No.Per100,000Adults]]-H1</calculatedColumnFormula>
    </tableColumn>
    <tableColumn id="10" xr3:uid="{CF96E510-0A5B-4185-BB0B-BD054613A1E5}" name="Index Group"/>
    <tableColumn id="11" xr3:uid="{9B8386EB-1C5E-4207-A853-76647B4941B0}" name="مجموعة المؤشر"/>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072A88-4613-45AA-9595-E2BE387F82E8}" name="_FIIPer1000" displayName="_FIIPer1000" ref="A1:K1471" totalsRowShown="0">
  <autoFilter ref="A1:K1471" xr:uid="{55072A88-4613-45AA-9595-E2BE387F82E8}">
    <filterColumn colId="5">
      <filters>
        <filter val="Number of mobile and internet banking transactions (during the reference year)"/>
      </filters>
    </filterColumn>
  </autoFilter>
  <tableColumns count="11">
    <tableColumn id="1" xr3:uid="{55979D71-4139-4E39-86E1-3C950E3A9F0D}" name="Group"/>
    <tableColumn id="2" xr3:uid="{F295F573-5AF2-4140-B521-939DF97A9B67}" name="المجموعة"/>
    <tableColumn id="3" xr3:uid="{B71FE900-2E2E-4DB9-873E-A250A98BB644}" name="Country"/>
    <tableColumn id="4" xr3:uid="{F3D9E0E4-1F01-402D-93C1-32C6D407DE0A}" name="الدولة"/>
    <tableColumn id="5" xr3:uid="{C78C9733-4DAF-4F3B-B4DF-E56717A914AE}" name="Year"/>
    <tableColumn id="6" xr3:uid="{B2DA1F8C-43AF-457C-A3BF-2E2C45CEEA47}" name="Indicator"/>
    <tableColumn id="7" xr3:uid="{4F5BF89C-B106-47C3-B33A-7F1C56D0C7FC}" name="المؤشر"/>
    <tableColumn id="8" xr3:uid="{DAA836D9-4E04-4DB1-B8EA-1B4F63609E65}" name="No.Per1000Adults"/>
    <tableColumn id="9" xr3:uid="{4EBD9C19-458B-499D-BBE1-BF0DE215A960}" name="Change" dataDxfId="0">
      <calculatedColumnFormula>_FIIPer1000[[#This Row],[No.Per1000Adults]]-H1</calculatedColumnFormula>
    </tableColumn>
    <tableColumn id="10" xr3:uid="{B7992CDA-12CF-4E76-9AB7-8E8521D21C0E}" name="Index Group"/>
    <tableColumn id="11" xr3:uid="{9CEA7FD3-8943-49B4-BD42-F3E771B27328}" name="مجموعة المؤشر"/>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081DB-78E7-4DE5-B62E-1CC5588BFED6}">
  <dimension ref="A1:V589"/>
  <sheetViews>
    <sheetView workbookViewId="0">
      <selection activeCell="O318" sqref="O318"/>
    </sheetView>
  </sheetViews>
  <sheetFormatPr defaultRowHeight="15" x14ac:dyDescent="0.25"/>
  <cols>
    <col min="2" max="2" width="10.42578125" customWidth="1"/>
    <col min="3" max="3" width="10.140625" customWidth="1"/>
    <col min="6" max="6" width="11" customWidth="1"/>
    <col min="8" max="8" width="21.5703125" customWidth="1"/>
    <col min="9" max="9" width="9.7109375" customWidth="1"/>
    <col min="10" max="10" width="14.140625" customWidth="1"/>
    <col min="11" max="11" width="14.85546875" customWidth="1"/>
  </cols>
  <sheetData>
    <row r="1" spans="1:11" x14ac:dyDescent="0.25">
      <c r="A1" t="s">
        <v>0</v>
      </c>
      <c r="B1" t="s">
        <v>1</v>
      </c>
      <c r="C1" t="s">
        <v>2</v>
      </c>
      <c r="D1" t="s">
        <v>3</v>
      </c>
      <c r="E1" t="s">
        <v>4</v>
      </c>
      <c r="F1" t="s">
        <v>58</v>
      </c>
      <c r="G1" t="s">
        <v>59</v>
      </c>
      <c r="H1" t="s">
        <v>60</v>
      </c>
      <c r="I1" t="s">
        <v>62</v>
      </c>
      <c r="J1" t="s">
        <v>63</v>
      </c>
      <c r="K1" t="s">
        <v>64</v>
      </c>
    </row>
    <row r="2" spans="1:11" hidden="1" x14ac:dyDescent="0.25">
      <c r="A2" t="s">
        <v>5</v>
      </c>
      <c r="B2" t="s">
        <v>6</v>
      </c>
      <c r="C2" t="s">
        <v>9</v>
      </c>
      <c r="D2" t="s">
        <v>10</v>
      </c>
      <c r="E2">
        <v>2019</v>
      </c>
      <c r="F2" t="s">
        <v>65</v>
      </c>
      <c r="G2" t="s">
        <v>66</v>
      </c>
      <c r="H2">
        <v>13.3407233636668</v>
      </c>
      <c r="J2" t="s">
        <v>67</v>
      </c>
      <c r="K2" t="s">
        <v>68</v>
      </c>
    </row>
    <row r="3" spans="1:11" hidden="1" x14ac:dyDescent="0.25">
      <c r="A3" t="s">
        <v>5</v>
      </c>
      <c r="B3" t="s">
        <v>6</v>
      </c>
      <c r="C3" t="s">
        <v>9</v>
      </c>
      <c r="D3" t="s">
        <v>10</v>
      </c>
      <c r="E3">
        <v>2020</v>
      </c>
      <c r="F3" t="s">
        <v>65</v>
      </c>
      <c r="G3" t="s">
        <v>66</v>
      </c>
      <c r="H3">
        <v>13.134434665395201</v>
      </c>
      <c r="I3">
        <f>_FIIPer100000[[#This Row],[No.Per100,000Adults]]-H2</f>
        <v>-0.20628869827159946</v>
      </c>
      <c r="J3" t="s">
        <v>67</v>
      </c>
      <c r="K3" t="s">
        <v>68</v>
      </c>
    </row>
    <row r="4" spans="1:11" hidden="1" x14ac:dyDescent="0.25">
      <c r="A4" t="s">
        <v>5</v>
      </c>
      <c r="B4" t="s">
        <v>6</v>
      </c>
      <c r="C4" t="s">
        <v>9</v>
      </c>
      <c r="D4" t="s">
        <v>10</v>
      </c>
      <c r="E4">
        <v>2021</v>
      </c>
      <c r="F4" t="s">
        <v>65</v>
      </c>
      <c r="G4" t="s">
        <v>66</v>
      </c>
      <c r="H4">
        <v>13.064124958355199</v>
      </c>
      <c r="I4">
        <f>_FIIPer100000[[#This Row],[No.Per100,000Adults]]-H3</f>
        <v>-7.0309707040001612E-2</v>
      </c>
      <c r="J4" t="s">
        <v>67</v>
      </c>
      <c r="K4" t="s">
        <v>68</v>
      </c>
    </row>
    <row r="5" spans="1:11" hidden="1" x14ac:dyDescent="0.25">
      <c r="A5" t="s">
        <v>5</v>
      </c>
      <c r="B5" t="s">
        <v>6</v>
      </c>
      <c r="C5" t="s">
        <v>9</v>
      </c>
      <c r="D5" t="s">
        <v>10</v>
      </c>
      <c r="E5">
        <v>2022</v>
      </c>
      <c r="F5" t="s">
        <v>65</v>
      </c>
      <c r="G5" t="s">
        <v>66</v>
      </c>
      <c r="H5">
        <v>12.997021318764</v>
      </c>
      <c r="I5">
        <f>_FIIPer100000[[#This Row],[No.Per100,000Adults]]-H4</f>
        <v>-6.7103639591199027E-2</v>
      </c>
      <c r="J5" t="s">
        <v>67</v>
      </c>
      <c r="K5" t="s">
        <v>68</v>
      </c>
    </row>
    <row r="6" spans="1:11" hidden="1" x14ac:dyDescent="0.25">
      <c r="A6" t="s">
        <v>5</v>
      </c>
      <c r="B6" t="s">
        <v>6</v>
      </c>
      <c r="C6" t="s">
        <v>9</v>
      </c>
      <c r="D6" t="s">
        <v>10</v>
      </c>
      <c r="E6">
        <v>2023</v>
      </c>
      <c r="F6" t="s">
        <v>65</v>
      </c>
      <c r="G6" t="s">
        <v>66</v>
      </c>
      <c r="H6">
        <v>12.6068449156569</v>
      </c>
      <c r="I6">
        <f>_FIIPer100000[[#This Row],[No.Per100,000Adults]]-H5</f>
        <v>-0.3901764031071</v>
      </c>
      <c r="J6" t="s">
        <v>67</v>
      </c>
      <c r="K6" t="s">
        <v>68</v>
      </c>
    </row>
    <row r="7" spans="1:11" hidden="1" x14ac:dyDescent="0.25">
      <c r="A7" t="s">
        <v>5</v>
      </c>
      <c r="B7" t="s">
        <v>6</v>
      </c>
      <c r="C7" t="s">
        <v>9</v>
      </c>
      <c r="D7" t="s">
        <v>10</v>
      </c>
      <c r="E7">
        <v>2024</v>
      </c>
      <c r="F7" t="s">
        <v>65</v>
      </c>
      <c r="G7" t="s">
        <v>66</v>
      </c>
      <c r="H7">
        <v>12.301812963983799</v>
      </c>
      <c r="I7">
        <f>_FIIPer100000[[#This Row],[No.Per100,000Adults]]-H6</f>
        <v>-0.30503195167310082</v>
      </c>
      <c r="J7" t="s">
        <v>67</v>
      </c>
      <c r="K7" t="s">
        <v>68</v>
      </c>
    </row>
    <row r="8" spans="1:11" hidden="1" x14ac:dyDescent="0.25">
      <c r="A8" t="s">
        <v>5</v>
      </c>
      <c r="B8" t="s">
        <v>6</v>
      </c>
      <c r="C8" t="s">
        <v>11</v>
      </c>
      <c r="D8" t="s">
        <v>12</v>
      </c>
      <c r="E8">
        <v>2019</v>
      </c>
      <c r="F8" t="s">
        <v>65</v>
      </c>
      <c r="G8" t="s">
        <v>66</v>
      </c>
      <c r="H8">
        <v>24.612933475394701</v>
      </c>
      <c r="J8" t="s">
        <v>67</v>
      </c>
      <c r="K8" t="s">
        <v>68</v>
      </c>
    </row>
    <row r="9" spans="1:11" hidden="1" x14ac:dyDescent="0.25">
      <c r="A9" t="s">
        <v>5</v>
      </c>
      <c r="B9" t="s">
        <v>6</v>
      </c>
      <c r="C9" t="s">
        <v>11</v>
      </c>
      <c r="D9" t="s">
        <v>12</v>
      </c>
      <c r="E9">
        <v>2020</v>
      </c>
      <c r="F9" t="s">
        <v>65</v>
      </c>
      <c r="G9" t="s">
        <v>66</v>
      </c>
      <c r="H9">
        <v>23.304329942588399</v>
      </c>
      <c r="I9">
        <f>_FIIPer100000[[#This Row],[No.Per100,000Adults]]-H8</f>
        <v>-1.3086035328063019</v>
      </c>
      <c r="J9" t="s">
        <v>67</v>
      </c>
      <c r="K9" t="s">
        <v>68</v>
      </c>
    </row>
    <row r="10" spans="1:11" hidden="1" x14ac:dyDescent="0.25">
      <c r="A10" t="s">
        <v>5</v>
      </c>
      <c r="B10" t="s">
        <v>6</v>
      </c>
      <c r="C10" t="s">
        <v>11</v>
      </c>
      <c r="D10" t="s">
        <v>12</v>
      </c>
      <c r="E10">
        <v>2021</v>
      </c>
      <c r="F10" t="s">
        <v>65</v>
      </c>
      <c r="G10" t="s">
        <v>66</v>
      </c>
      <c r="H10">
        <v>21.089780901086701</v>
      </c>
      <c r="I10">
        <f>_FIIPer100000[[#This Row],[No.Per100,000Adults]]-H9</f>
        <v>-2.214549041501698</v>
      </c>
      <c r="J10" t="s">
        <v>67</v>
      </c>
      <c r="K10" t="s">
        <v>68</v>
      </c>
    </row>
    <row r="11" spans="1:11" hidden="1" x14ac:dyDescent="0.25">
      <c r="A11" t="s">
        <v>5</v>
      </c>
      <c r="B11" t="s">
        <v>6</v>
      </c>
      <c r="C11" t="s">
        <v>11</v>
      </c>
      <c r="D11" t="s">
        <v>12</v>
      </c>
      <c r="E11">
        <v>2022</v>
      </c>
      <c r="F11" t="s">
        <v>65</v>
      </c>
      <c r="G11" t="s">
        <v>66</v>
      </c>
      <c r="H11">
        <v>19.317805497295499</v>
      </c>
      <c r="I11">
        <f>_FIIPer100000[[#This Row],[No.Per100,000Adults]]-H10</f>
        <v>-1.7719754037912026</v>
      </c>
      <c r="J11" t="s">
        <v>67</v>
      </c>
      <c r="K11" t="s">
        <v>68</v>
      </c>
    </row>
    <row r="12" spans="1:11" hidden="1" x14ac:dyDescent="0.25">
      <c r="A12" t="s">
        <v>5</v>
      </c>
      <c r="B12" t="s">
        <v>6</v>
      </c>
      <c r="C12" t="s">
        <v>11</v>
      </c>
      <c r="D12" t="s">
        <v>12</v>
      </c>
      <c r="E12">
        <v>2023</v>
      </c>
      <c r="F12" t="s">
        <v>65</v>
      </c>
      <c r="G12" t="s">
        <v>66</v>
      </c>
      <c r="H12">
        <v>16.862568147158001</v>
      </c>
      <c r="I12">
        <f>_FIIPer100000[[#This Row],[No.Per100,000Adults]]-H11</f>
        <v>-2.455237350137498</v>
      </c>
      <c r="J12" t="s">
        <v>67</v>
      </c>
      <c r="K12" t="s">
        <v>68</v>
      </c>
    </row>
    <row r="13" spans="1:11" hidden="1" x14ac:dyDescent="0.25">
      <c r="A13" t="s">
        <v>5</v>
      </c>
      <c r="B13" t="s">
        <v>6</v>
      </c>
      <c r="C13" t="s">
        <v>11</v>
      </c>
      <c r="D13" t="s">
        <v>12</v>
      </c>
      <c r="E13">
        <v>2024</v>
      </c>
      <c r="F13" t="s">
        <v>65</v>
      </c>
      <c r="G13" t="s">
        <v>66</v>
      </c>
      <c r="H13">
        <v>15.4624175561434</v>
      </c>
      <c r="I13">
        <f>_FIIPer100000[[#This Row],[No.Per100,000Adults]]-H12</f>
        <v>-1.4001505910146008</v>
      </c>
      <c r="J13" t="s">
        <v>67</v>
      </c>
      <c r="K13" t="s">
        <v>68</v>
      </c>
    </row>
    <row r="14" spans="1:11" hidden="1" x14ac:dyDescent="0.25">
      <c r="A14" t="s">
        <v>45</v>
      </c>
      <c r="B14" t="s">
        <v>46</v>
      </c>
      <c r="C14" t="s">
        <v>47</v>
      </c>
      <c r="D14" t="s">
        <v>48</v>
      </c>
      <c r="E14">
        <v>2019</v>
      </c>
      <c r="F14" t="s">
        <v>65</v>
      </c>
      <c r="G14" t="s">
        <v>66</v>
      </c>
      <c r="H14">
        <v>19.822625460348799</v>
      </c>
      <c r="J14" t="s">
        <v>67</v>
      </c>
      <c r="K14" t="s">
        <v>68</v>
      </c>
    </row>
    <row r="15" spans="1:11" hidden="1" x14ac:dyDescent="0.25">
      <c r="A15" t="s">
        <v>45</v>
      </c>
      <c r="B15" t="s">
        <v>46</v>
      </c>
      <c r="C15" t="s">
        <v>47</v>
      </c>
      <c r="D15" t="s">
        <v>48</v>
      </c>
      <c r="E15">
        <v>2020</v>
      </c>
      <c r="F15" t="s">
        <v>65</v>
      </c>
      <c r="G15" t="s">
        <v>66</v>
      </c>
      <c r="H15">
        <v>17.382972318676501</v>
      </c>
      <c r="I15">
        <f>_FIIPer100000[[#This Row],[No.Per100,000Adults]]-H14</f>
        <v>-2.4396531416722986</v>
      </c>
      <c r="J15" t="s">
        <v>67</v>
      </c>
      <c r="K15" t="s">
        <v>68</v>
      </c>
    </row>
    <row r="16" spans="1:11" hidden="1" x14ac:dyDescent="0.25">
      <c r="A16" t="s">
        <v>45</v>
      </c>
      <c r="B16" t="s">
        <v>46</v>
      </c>
      <c r="C16" t="s">
        <v>47</v>
      </c>
      <c r="D16" t="s">
        <v>48</v>
      </c>
      <c r="E16">
        <v>2021</v>
      </c>
      <c r="F16" t="s">
        <v>65</v>
      </c>
      <c r="G16" t="s">
        <v>66</v>
      </c>
      <c r="H16">
        <v>14.9074748220162</v>
      </c>
      <c r="I16">
        <f>_FIIPer100000[[#This Row],[No.Per100,000Adults]]-H15</f>
        <v>-2.4754974966603012</v>
      </c>
      <c r="J16" t="s">
        <v>67</v>
      </c>
      <c r="K16" t="s">
        <v>68</v>
      </c>
    </row>
    <row r="17" spans="1:11" hidden="1" x14ac:dyDescent="0.25">
      <c r="A17" t="s">
        <v>45</v>
      </c>
      <c r="B17" t="s">
        <v>46</v>
      </c>
      <c r="C17" t="s">
        <v>47</v>
      </c>
      <c r="D17" t="s">
        <v>48</v>
      </c>
      <c r="E17">
        <v>2022</v>
      </c>
      <c r="F17" t="s">
        <v>65</v>
      </c>
      <c r="G17" t="s">
        <v>66</v>
      </c>
      <c r="H17">
        <v>14.427008657015699</v>
      </c>
      <c r="I17">
        <f>_FIIPer100000[[#This Row],[No.Per100,000Adults]]-H16</f>
        <v>-0.48046616500050021</v>
      </c>
      <c r="J17" t="s">
        <v>67</v>
      </c>
      <c r="K17" t="s">
        <v>68</v>
      </c>
    </row>
    <row r="18" spans="1:11" hidden="1" x14ac:dyDescent="0.25">
      <c r="A18" t="s">
        <v>45</v>
      </c>
      <c r="B18" t="s">
        <v>46</v>
      </c>
      <c r="C18" t="s">
        <v>47</v>
      </c>
      <c r="D18" t="s">
        <v>48</v>
      </c>
      <c r="E18">
        <v>2023</v>
      </c>
      <c r="F18" t="s">
        <v>65</v>
      </c>
      <c r="G18" t="s">
        <v>66</v>
      </c>
      <c r="H18">
        <v>12.837111149030999</v>
      </c>
      <c r="I18">
        <f>_FIIPer100000[[#This Row],[No.Per100,000Adults]]-H17</f>
        <v>-1.5898975079847002</v>
      </c>
      <c r="J18" t="s">
        <v>67</v>
      </c>
      <c r="K18" t="s">
        <v>68</v>
      </c>
    </row>
    <row r="19" spans="1:11" hidden="1" x14ac:dyDescent="0.25">
      <c r="A19" t="s">
        <v>45</v>
      </c>
      <c r="B19" t="s">
        <v>46</v>
      </c>
      <c r="C19" t="s">
        <v>47</v>
      </c>
      <c r="D19" t="s">
        <v>48</v>
      </c>
      <c r="E19">
        <v>2024</v>
      </c>
      <c r="F19" t="s">
        <v>65</v>
      </c>
      <c r="G19" t="s">
        <v>66</v>
      </c>
      <c r="H19">
        <v>12.390403013346001</v>
      </c>
      <c r="I19">
        <f>_FIIPer100000[[#This Row],[No.Per100,000Adults]]-H18</f>
        <v>-0.44670813568499845</v>
      </c>
      <c r="J19" t="s">
        <v>67</v>
      </c>
      <c r="K19" t="s">
        <v>68</v>
      </c>
    </row>
    <row r="20" spans="1:11" hidden="1" x14ac:dyDescent="0.25">
      <c r="A20" t="s">
        <v>5</v>
      </c>
      <c r="B20" t="s">
        <v>6</v>
      </c>
      <c r="C20" t="s">
        <v>13</v>
      </c>
      <c r="D20" t="s">
        <v>14</v>
      </c>
      <c r="E20">
        <v>2019</v>
      </c>
      <c r="F20" t="s">
        <v>65</v>
      </c>
      <c r="G20" t="s">
        <v>66</v>
      </c>
      <c r="H20">
        <v>19.038782033808602</v>
      </c>
      <c r="J20" t="s">
        <v>67</v>
      </c>
      <c r="K20" t="s">
        <v>68</v>
      </c>
    </row>
    <row r="21" spans="1:11" hidden="1" x14ac:dyDescent="0.25">
      <c r="A21" t="s">
        <v>5</v>
      </c>
      <c r="B21" t="s">
        <v>6</v>
      </c>
      <c r="C21" t="s">
        <v>13</v>
      </c>
      <c r="D21" t="s">
        <v>14</v>
      </c>
      <c r="E21">
        <v>2020</v>
      </c>
      <c r="F21" t="s">
        <v>65</v>
      </c>
      <c r="G21" t="s">
        <v>66</v>
      </c>
      <c r="H21">
        <v>18.307255437903699</v>
      </c>
      <c r="I21">
        <f>_FIIPer100000[[#This Row],[No.Per100,000Adults]]-H20</f>
        <v>-0.73152659590490288</v>
      </c>
      <c r="J21" t="s">
        <v>67</v>
      </c>
      <c r="K21" t="s">
        <v>68</v>
      </c>
    </row>
    <row r="22" spans="1:11" hidden="1" x14ac:dyDescent="0.25">
      <c r="A22" t="s">
        <v>5</v>
      </c>
      <c r="B22" t="s">
        <v>6</v>
      </c>
      <c r="C22" t="s">
        <v>13</v>
      </c>
      <c r="D22" t="s">
        <v>14</v>
      </c>
      <c r="E22">
        <v>2021</v>
      </c>
      <c r="F22" t="s">
        <v>65</v>
      </c>
      <c r="G22" t="s">
        <v>66</v>
      </c>
      <c r="H22">
        <v>17.551932261866401</v>
      </c>
      <c r="I22">
        <f>_FIIPer100000[[#This Row],[No.Per100,000Adults]]-H21</f>
        <v>-0.75532317603729737</v>
      </c>
      <c r="J22" t="s">
        <v>67</v>
      </c>
      <c r="K22" t="s">
        <v>68</v>
      </c>
    </row>
    <row r="23" spans="1:11" hidden="1" x14ac:dyDescent="0.25">
      <c r="A23" t="s">
        <v>5</v>
      </c>
      <c r="B23" t="s">
        <v>6</v>
      </c>
      <c r="C23" t="s">
        <v>13</v>
      </c>
      <c r="D23" t="s">
        <v>14</v>
      </c>
      <c r="E23">
        <v>2022</v>
      </c>
      <c r="F23" t="s">
        <v>65</v>
      </c>
      <c r="G23" t="s">
        <v>66</v>
      </c>
      <c r="H23">
        <v>16.912833011733401</v>
      </c>
      <c r="I23">
        <f>_FIIPer100000[[#This Row],[No.Per100,000Adults]]-H22</f>
        <v>-0.6390992501330004</v>
      </c>
      <c r="J23" t="s">
        <v>67</v>
      </c>
      <c r="K23" t="s">
        <v>68</v>
      </c>
    </row>
    <row r="24" spans="1:11" hidden="1" x14ac:dyDescent="0.25">
      <c r="A24" t="s">
        <v>5</v>
      </c>
      <c r="B24" t="s">
        <v>6</v>
      </c>
      <c r="C24" t="s">
        <v>13</v>
      </c>
      <c r="D24" t="s">
        <v>14</v>
      </c>
      <c r="E24">
        <v>2023</v>
      </c>
      <c r="F24" t="s">
        <v>65</v>
      </c>
      <c r="G24" t="s">
        <v>66</v>
      </c>
      <c r="H24">
        <v>16.394178858562899</v>
      </c>
      <c r="I24">
        <f>_FIIPer100000[[#This Row],[No.Per100,000Adults]]-H23</f>
        <v>-0.51865415317050179</v>
      </c>
      <c r="J24" t="s">
        <v>67</v>
      </c>
      <c r="K24" t="s">
        <v>68</v>
      </c>
    </row>
    <row r="25" spans="1:11" hidden="1" x14ac:dyDescent="0.25">
      <c r="A25" t="s">
        <v>5</v>
      </c>
      <c r="B25" t="s">
        <v>6</v>
      </c>
      <c r="C25" t="s">
        <v>13</v>
      </c>
      <c r="D25" t="s">
        <v>14</v>
      </c>
      <c r="E25">
        <v>2024</v>
      </c>
      <c r="F25" t="s">
        <v>65</v>
      </c>
      <c r="G25" t="s">
        <v>66</v>
      </c>
      <c r="H25">
        <v>15.8294859679319</v>
      </c>
      <c r="I25">
        <f>_FIIPer100000[[#This Row],[No.Per100,000Adults]]-H24</f>
        <v>-0.56469289063099914</v>
      </c>
      <c r="J25" t="s">
        <v>67</v>
      </c>
      <c r="K25" t="s">
        <v>68</v>
      </c>
    </row>
    <row r="26" spans="1:11" hidden="1" x14ac:dyDescent="0.25">
      <c r="A26" t="s">
        <v>5</v>
      </c>
      <c r="B26" t="s">
        <v>6</v>
      </c>
      <c r="C26" t="s">
        <v>15</v>
      </c>
      <c r="D26" t="s">
        <v>16</v>
      </c>
      <c r="E26">
        <v>2019</v>
      </c>
      <c r="F26" t="s">
        <v>65</v>
      </c>
      <c r="G26" t="s">
        <v>66</v>
      </c>
      <c r="H26">
        <v>19.749564636319398</v>
      </c>
      <c r="J26" t="s">
        <v>67</v>
      </c>
      <c r="K26" t="s">
        <v>68</v>
      </c>
    </row>
    <row r="27" spans="1:11" hidden="1" x14ac:dyDescent="0.25">
      <c r="A27" t="s">
        <v>5</v>
      </c>
      <c r="B27" t="s">
        <v>6</v>
      </c>
      <c r="C27" t="s">
        <v>15</v>
      </c>
      <c r="D27" t="s">
        <v>16</v>
      </c>
      <c r="E27">
        <v>2020</v>
      </c>
      <c r="F27" t="s">
        <v>65</v>
      </c>
      <c r="G27" t="s">
        <v>66</v>
      </c>
      <c r="H27">
        <v>20.1837411259683</v>
      </c>
      <c r="I27">
        <f>_FIIPer100000[[#This Row],[No.Per100,000Adults]]-H26</f>
        <v>0.43417648964890176</v>
      </c>
      <c r="J27" t="s">
        <v>67</v>
      </c>
      <c r="K27" t="s">
        <v>68</v>
      </c>
    </row>
    <row r="28" spans="1:11" hidden="1" x14ac:dyDescent="0.25">
      <c r="A28" t="s">
        <v>5</v>
      </c>
      <c r="B28" t="s">
        <v>6</v>
      </c>
      <c r="C28" t="s">
        <v>15</v>
      </c>
      <c r="D28" t="s">
        <v>16</v>
      </c>
      <c r="E28">
        <v>2021</v>
      </c>
      <c r="F28" t="s">
        <v>65</v>
      </c>
      <c r="G28" t="s">
        <v>66</v>
      </c>
      <c r="H28">
        <v>20.692291381230699</v>
      </c>
      <c r="I28">
        <f>_FIIPer100000[[#This Row],[No.Per100,000Adults]]-H27</f>
        <v>0.50855025526239928</v>
      </c>
      <c r="J28" t="s">
        <v>67</v>
      </c>
      <c r="K28" t="s">
        <v>68</v>
      </c>
    </row>
    <row r="29" spans="1:11" hidden="1" x14ac:dyDescent="0.25">
      <c r="A29" t="s">
        <v>5</v>
      </c>
      <c r="B29" t="s">
        <v>6</v>
      </c>
      <c r="C29" t="s">
        <v>15</v>
      </c>
      <c r="D29" t="s">
        <v>16</v>
      </c>
      <c r="E29">
        <v>2022</v>
      </c>
      <c r="F29" t="s">
        <v>65</v>
      </c>
      <c r="G29" t="s">
        <v>66</v>
      </c>
      <c r="H29">
        <v>19.761444272666299</v>
      </c>
      <c r="I29">
        <f>_FIIPer100000[[#This Row],[No.Per100,000Adults]]-H28</f>
        <v>-0.93084710856440012</v>
      </c>
      <c r="J29" t="s">
        <v>67</v>
      </c>
      <c r="K29" t="s">
        <v>68</v>
      </c>
    </row>
    <row r="30" spans="1:11" hidden="1" x14ac:dyDescent="0.25">
      <c r="A30" t="s">
        <v>5</v>
      </c>
      <c r="B30" t="s">
        <v>6</v>
      </c>
      <c r="C30" t="s">
        <v>15</v>
      </c>
      <c r="D30" t="s">
        <v>16</v>
      </c>
      <c r="E30">
        <v>2023</v>
      </c>
      <c r="F30" t="s">
        <v>65</v>
      </c>
      <c r="G30" t="s">
        <v>66</v>
      </c>
      <c r="H30">
        <v>19.0050407542067</v>
      </c>
      <c r="I30">
        <f>_FIIPer100000[[#This Row],[No.Per100,000Adults]]-H29</f>
        <v>-0.75640351845959941</v>
      </c>
      <c r="J30" t="s">
        <v>67</v>
      </c>
      <c r="K30" t="s">
        <v>68</v>
      </c>
    </row>
    <row r="31" spans="1:11" hidden="1" x14ac:dyDescent="0.25">
      <c r="A31" t="s">
        <v>5</v>
      </c>
      <c r="B31" t="s">
        <v>6</v>
      </c>
      <c r="C31" t="s">
        <v>15</v>
      </c>
      <c r="D31" t="s">
        <v>16</v>
      </c>
      <c r="E31">
        <v>2024</v>
      </c>
      <c r="F31" t="s">
        <v>65</v>
      </c>
      <c r="G31" t="s">
        <v>66</v>
      </c>
      <c r="H31">
        <v>18.0374274622657</v>
      </c>
      <c r="I31">
        <f>_FIIPer100000[[#This Row],[No.Per100,000Adults]]-H30</f>
        <v>-0.96761329194099943</v>
      </c>
      <c r="J31" t="s">
        <v>67</v>
      </c>
      <c r="K31" t="s">
        <v>68</v>
      </c>
    </row>
    <row r="32" spans="1:11" hidden="1" x14ac:dyDescent="0.25">
      <c r="A32" t="s">
        <v>5</v>
      </c>
      <c r="B32" t="s">
        <v>6</v>
      </c>
      <c r="C32" t="s">
        <v>17</v>
      </c>
      <c r="D32" t="s">
        <v>18</v>
      </c>
      <c r="E32">
        <v>2019</v>
      </c>
      <c r="F32" t="s">
        <v>65</v>
      </c>
      <c r="G32" t="s">
        <v>66</v>
      </c>
      <c r="H32">
        <v>8.8403594972660304</v>
      </c>
      <c r="J32" t="s">
        <v>67</v>
      </c>
      <c r="K32" t="s">
        <v>68</v>
      </c>
    </row>
    <row r="33" spans="1:11" hidden="1" x14ac:dyDescent="0.25">
      <c r="A33" t="s">
        <v>5</v>
      </c>
      <c r="B33" t="s">
        <v>6</v>
      </c>
      <c r="C33" t="s">
        <v>17</v>
      </c>
      <c r="D33" t="s">
        <v>18</v>
      </c>
      <c r="E33">
        <v>2020</v>
      </c>
      <c r="F33" t="s">
        <v>65</v>
      </c>
      <c r="G33" t="s">
        <v>66</v>
      </c>
      <c r="H33">
        <v>8.7636312557505107</v>
      </c>
      <c r="I33">
        <f>_FIIPer100000[[#This Row],[No.Per100,000Adults]]-H32</f>
        <v>-7.6728241515519713E-2</v>
      </c>
      <c r="J33" t="s">
        <v>67</v>
      </c>
      <c r="K33" t="s">
        <v>68</v>
      </c>
    </row>
    <row r="34" spans="1:11" hidden="1" x14ac:dyDescent="0.25">
      <c r="A34" t="s">
        <v>5</v>
      </c>
      <c r="B34" t="s">
        <v>6</v>
      </c>
      <c r="C34" t="s">
        <v>17</v>
      </c>
      <c r="D34" t="s">
        <v>18</v>
      </c>
      <c r="E34">
        <v>2021</v>
      </c>
      <c r="F34" t="s">
        <v>65</v>
      </c>
      <c r="G34" t="s">
        <v>66</v>
      </c>
      <c r="H34">
        <v>8.7685917856361293</v>
      </c>
      <c r="I34">
        <f>_FIIPer100000[[#This Row],[No.Per100,000Adults]]-H33</f>
        <v>4.9605298856185698E-3</v>
      </c>
      <c r="J34" t="s">
        <v>67</v>
      </c>
      <c r="K34" t="s">
        <v>68</v>
      </c>
    </row>
    <row r="35" spans="1:11" hidden="1" x14ac:dyDescent="0.25">
      <c r="A35" t="s">
        <v>5</v>
      </c>
      <c r="B35" t="s">
        <v>6</v>
      </c>
      <c r="C35" t="s">
        <v>17</v>
      </c>
      <c r="D35" t="s">
        <v>18</v>
      </c>
      <c r="E35">
        <v>2022</v>
      </c>
      <c r="F35" t="s">
        <v>65</v>
      </c>
      <c r="G35" t="s">
        <v>66</v>
      </c>
      <c r="H35">
        <v>8.7847140387821696</v>
      </c>
      <c r="I35">
        <f>_FIIPer100000[[#This Row],[No.Per100,000Adults]]-H34</f>
        <v>1.6122253146040322E-2</v>
      </c>
      <c r="J35" t="s">
        <v>67</v>
      </c>
      <c r="K35" t="s">
        <v>68</v>
      </c>
    </row>
    <row r="36" spans="1:11" hidden="1" x14ac:dyDescent="0.25">
      <c r="A36" t="s">
        <v>5</v>
      </c>
      <c r="B36" t="s">
        <v>6</v>
      </c>
      <c r="C36" t="s">
        <v>17</v>
      </c>
      <c r="D36" t="s">
        <v>18</v>
      </c>
      <c r="E36">
        <v>2023</v>
      </c>
      <c r="F36" t="s">
        <v>65</v>
      </c>
      <c r="G36" t="s">
        <v>66</v>
      </c>
      <c r="H36">
        <v>8.7539617953263793</v>
      </c>
      <c r="I36">
        <f>_FIIPer100000[[#This Row],[No.Per100,000Adults]]-H35</f>
        <v>-3.0752243455790307E-2</v>
      </c>
      <c r="J36" t="s">
        <v>67</v>
      </c>
      <c r="K36" t="s">
        <v>68</v>
      </c>
    </row>
    <row r="37" spans="1:11" hidden="1" x14ac:dyDescent="0.25">
      <c r="A37" t="s">
        <v>5</v>
      </c>
      <c r="B37" t="s">
        <v>6</v>
      </c>
      <c r="C37" t="s">
        <v>17</v>
      </c>
      <c r="D37" t="s">
        <v>18</v>
      </c>
      <c r="E37">
        <v>2024</v>
      </c>
      <c r="F37" t="s">
        <v>65</v>
      </c>
      <c r="G37" t="s">
        <v>66</v>
      </c>
      <c r="H37">
        <v>8.7164512492404391</v>
      </c>
      <c r="I37">
        <f>_FIIPer100000[[#This Row],[No.Per100,000Adults]]-H36</f>
        <v>-3.7510546085940177E-2</v>
      </c>
      <c r="J37" t="s">
        <v>67</v>
      </c>
      <c r="K37" t="s">
        <v>68</v>
      </c>
    </row>
    <row r="38" spans="1:11" hidden="1" x14ac:dyDescent="0.25">
      <c r="A38" t="s">
        <v>5</v>
      </c>
      <c r="B38" t="s">
        <v>6</v>
      </c>
      <c r="C38" t="s">
        <v>19</v>
      </c>
      <c r="D38" t="s">
        <v>20</v>
      </c>
      <c r="E38">
        <v>2019</v>
      </c>
      <c r="F38" t="s">
        <v>65</v>
      </c>
      <c r="G38" t="s">
        <v>66</v>
      </c>
      <c r="H38">
        <v>34.025605538510298</v>
      </c>
      <c r="J38" t="s">
        <v>67</v>
      </c>
      <c r="K38" t="s">
        <v>68</v>
      </c>
    </row>
    <row r="39" spans="1:11" hidden="1" x14ac:dyDescent="0.25">
      <c r="A39" t="s">
        <v>5</v>
      </c>
      <c r="B39" t="s">
        <v>6</v>
      </c>
      <c r="C39" t="s">
        <v>19</v>
      </c>
      <c r="D39" t="s">
        <v>20</v>
      </c>
      <c r="E39">
        <v>2020</v>
      </c>
      <c r="F39" t="s">
        <v>65</v>
      </c>
      <c r="G39" t="s">
        <v>66</v>
      </c>
      <c r="H39">
        <v>33.370930950249303</v>
      </c>
      <c r="I39">
        <f>_FIIPer100000[[#This Row],[No.Per100,000Adults]]-H38</f>
        <v>-0.65467458826099545</v>
      </c>
      <c r="J39" t="s">
        <v>67</v>
      </c>
      <c r="K39" t="s">
        <v>68</v>
      </c>
    </row>
    <row r="40" spans="1:11" hidden="1" x14ac:dyDescent="0.25">
      <c r="A40" t="s">
        <v>5</v>
      </c>
      <c r="B40" t="s">
        <v>6</v>
      </c>
      <c r="C40" t="s">
        <v>19</v>
      </c>
      <c r="D40" t="s">
        <v>20</v>
      </c>
      <c r="E40">
        <v>2021</v>
      </c>
      <c r="F40" t="s">
        <v>65</v>
      </c>
      <c r="G40" t="s">
        <v>66</v>
      </c>
      <c r="H40">
        <v>33.003120450471101</v>
      </c>
      <c r="I40">
        <f>_FIIPer100000[[#This Row],[No.Per100,000Adults]]-H39</f>
        <v>-0.36781049977820146</v>
      </c>
      <c r="J40" t="s">
        <v>67</v>
      </c>
      <c r="K40" t="s">
        <v>68</v>
      </c>
    </row>
    <row r="41" spans="1:11" hidden="1" x14ac:dyDescent="0.25">
      <c r="A41" t="s">
        <v>5</v>
      </c>
      <c r="B41" t="s">
        <v>6</v>
      </c>
      <c r="C41" t="s">
        <v>19</v>
      </c>
      <c r="D41" t="s">
        <v>20</v>
      </c>
      <c r="E41">
        <v>2022</v>
      </c>
      <c r="F41" t="s">
        <v>65</v>
      </c>
      <c r="G41" t="s">
        <v>66</v>
      </c>
      <c r="H41">
        <v>32.0385574733791</v>
      </c>
      <c r="I41">
        <f>_FIIPer100000[[#This Row],[No.Per100,000Adults]]-H40</f>
        <v>-0.96456297709200101</v>
      </c>
      <c r="J41" t="s">
        <v>67</v>
      </c>
      <c r="K41" t="s">
        <v>68</v>
      </c>
    </row>
    <row r="42" spans="1:11" hidden="1" x14ac:dyDescent="0.25">
      <c r="A42" t="s">
        <v>5</v>
      </c>
      <c r="B42" t="s">
        <v>6</v>
      </c>
      <c r="C42" t="s">
        <v>19</v>
      </c>
      <c r="D42" t="s">
        <v>20</v>
      </c>
      <c r="E42">
        <v>2023</v>
      </c>
      <c r="F42" t="s">
        <v>65</v>
      </c>
      <c r="G42" t="s">
        <v>66</v>
      </c>
      <c r="H42">
        <v>31.112746681142699</v>
      </c>
      <c r="I42">
        <f>_FIIPer100000[[#This Row],[No.Per100,000Adults]]-H41</f>
        <v>-0.92581079223640117</v>
      </c>
      <c r="J42" t="s">
        <v>67</v>
      </c>
      <c r="K42" t="s">
        <v>68</v>
      </c>
    </row>
    <row r="43" spans="1:11" hidden="1" x14ac:dyDescent="0.25">
      <c r="A43" t="s">
        <v>5</v>
      </c>
      <c r="B43" t="s">
        <v>6</v>
      </c>
      <c r="C43" t="s">
        <v>19</v>
      </c>
      <c r="D43" t="s">
        <v>20</v>
      </c>
      <c r="E43">
        <v>2024</v>
      </c>
      <c r="F43" t="s">
        <v>65</v>
      </c>
      <c r="G43" t="s">
        <v>66</v>
      </c>
      <c r="H43">
        <v>30.053522644131</v>
      </c>
      <c r="I43">
        <f>_FIIPer100000[[#This Row],[No.Per100,000Adults]]-H42</f>
        <v>-1.059224037011699</v>
      </c>
      <c r="J43" t="s">
        <v>67</v>
      </c>
      <c r="K43" t="s">
        <v>68</v>
      </c>
    </row>
    <row r="44" spans="1:11" hidden="1" x14ac:dyDescent="0.25">
      <c r="A44" t="s">
        <v>5</v>
      </c>
      <c r="B44" t="s">
        <v>6</v>
      </c>
      <c r="C44" t="s">
        <v>21</v>
      </c>
      <c r="D44" t="s">
        <v>22</v>
      </c>
      <c r="E44">
        <v>2019</v>
      </c>
      <c r="F44" t="s">
        <v>65</v>
      </c>
      <c r="G44" t="s">
        <v>66</v>
      </c>
      <c r="H44">
        <v>10.9561844064669</v>
      </c>
      <c r="J44" t="s">
        <v>67</v>
      </c>
      <c r="K44" t="s">
        <v>68</v>
      </c>
    </row>
    <row r="45" spans="1:11" hidden="1" x14ac:dyDescent="0.25">
      <c r="A45" t="s">
        <v>5</v>
      </c>
      <c r="B45" t="s">
        <v>6</v>
      </c>
      <c r="C45" t="s">
        <v>21</v>
      </c>
      <c r="D45" t="s">
        <v>22</v>
      </c>
      <c r="E45">
        <v>2020</v>
      </c>
      <c r="F45" t="s">
        <v>65</v>
      </c>
      <c r="G45" t="s">
        <v>66</v>
      </c>
      <c r="H45">
        <v>9.3562853377554802</v>
      </c>
      <c r="I45">
        <f>_FIIPer100000[[#This Row],[No.Per100,000Adults]]-H44</f>
        <v>-1.5998990687114194</v>
      </c>
      <c r="J45" t="s">
        <v>67</v>
      </c>
      <c r="K45" t="s">
        <v>68</v>
      </c>
    </row>
    <row r="46" spans="1:11" hidden="1" x14ac:dyDescent="0.25">
      <c r="A46" t="s">
        <v>5</v>
      </c>
      <c r="B46" t="s">
        <v>6</v>
      </c>
      <c r="C46" t="s">
        <v>21</v>
      </c>
      <c r="D46" t="s">
        <v>22</v>
      </c>
      <c r="E46">
        <v>2021</v>
      </c>
      <c r="F46" t="s">
        <v>65</v>
      </c>
      <c r="G46" t="s">
        <v>66</v>
      </c>
      <c r="H46">
        <v>7.6046166413681702</v>
      </c>
      <c r="I46">
        <f>_FIIPer100000[[#This Row],[No.Per100,000Adults]]-H45</f>
        <v>-1.75166869638731</v>
      </c>
      <c r="J46" t="s">
        <v>67</v>
      </c>
      <c r="K46" t="s">
        <v>68</v>
      </c>
    </row>
    <row r="47" spans="1:11" hidden="1" x14ac:dyDescent="0.25">
      <c r="A47" t="s">
        <v>5</v>
      </c>
      <c r="B47" t="s">
        <v>6</v>
      </c>
      <c r="C47" t="s">
        <v>21</v>
      </c>
      <c r="D47" t="s">
        <v>22</v>
      </c>
      <c r="E47">
        <v>2022</v>
      </c>
      <c r="F47" t="s">
        <v>65</v>
      </c>
      <c r="G47" t="s">
        <v>66</v>
      </c>
      <c r="H47">
        <v>7.0224983881245304</v>
      </c>
      <c r="I47">
        <f>_FIIPer100000[[#This Row],[No.Per100,000Adults]]-H46</f>
        <v>-0.58211825324363975</v>
      </c>
      <c r="J47" t="s">
        <v>67</v>
      </c>
      <c r="K47" t="s">
        <v>68</v>
      </c>
    </row>
    <row r="48" spans="1:11" hidden="1" x14ac:dyDescent="0.25">
      <c r="A48" t="s">
        <v>5</v>
      </c>
      <c r="B48" t="s">
        <v>6</v>
      </c>
      <c r="C48" t="s">
        <v>21</v>
      </c>
      <c r="D48" t="s">
        <v>22</v>
      </c>
      <c r="E48">
        <v>2023</v>
      </c>
      <c r="F48" t="s">
        <v>65</v>
      </c>
      <c r="G48" t="s">
        <v>66</v>
      </c>
      <c r="H48">
        <v>6.6623749821671998</v>
      </c>
      <c r="I48">
        <f>_FIIPer100000[[#This Row],[No.Per100,000Adults]]-H47</f>
        <v>-0.36012340595733061</v>
      </c>
      <c r="J48" t="s">
        <v>67</v>
      </c>
      <c r="K48" t="s">
        <v>68</v>
      </c>
    </row>
    <row r="49" spans="1:11" hidden="1" x14ac:dyDescent="0.25">
      <c r="A49" t="s">
        <v>5</v>
      </c>
      <c r="B49" t="s">
        <v>6</v>
      </c>
      <c r="C49" t="s">
        <v>21</v>
      </c>
      <c r="D49" t="s">
        <v>22</v>
      </c>
      <c r="E49">
        <v>2024</v>
      </c>
      <c r="F49" t="s">
        <v>65</v>
      </c>
      <c r="G49" t="s">
        <v>66</v>
      </c>
      <c r="J49" t="s">
        <v>67</v>
      </c>
      <c r="K49" t="s">
        <v>68</v>
      </c>
    </row>
    <row r="50" spans="1:11" hidden="1" x14ac:dyDescent="0.25">
      <c r="A50" t="s">
        <v>5</v>
      </c>
      <c r="B50" t="s">
        <v>6</v>
      </c>
      <c r="C50" t="s">
        <v>23</v>
      </c>
      <c r="D50" t="s">
        <v>24</v>
      </c>
      <c r="E50">
        <v>2019</v>
      </c>
      <c r="F50" t="s">
        <v>65</v>
      </c>
      <c r="G50" t="s">
        <v>66</v>
      </c>
      <c r="H50">
        <v>14.402041175139599</v>
      </c>
      <c r="J50" t="s">
        <v>67</v>
      </c>
      <c r="K50" t="s">
        <v>68</v>
      </c>
    </row>
    <row r="51" spans="1:11" hidden="1" x14ac:dyDescent="0.25">
      <c r="A51" t="s">
        <v>5</v>
      </c>
      <c r="B51" t="s">
        <v>6</v>
      </c>
      <c r="C51" t="s">
        <v>23</v>
      </c>
      <c r="D51" t="s">
        <v>24</v>
      </c>
      <c r="E51">
        <v>2020</v>
      </c>
      <c r="F51" t="s">
        <v>65</v>
      </c>
      <c r="G51" t="s">
        <v>66</v>
      </c>
      <c r="H51">
        <v>14.5469022724773</v>
      </c>
      <c r="I51">
        <f>_FIIPer100000[[#This Row],[No.Per100,000Adults]]-H50</f>
        <v>0.14486109733770114</v>
      </c>
      <c r="J51" t="s">
        <v>67</v>
      </c>
      <c r="K51" t="s">
        <v>68</v>
      </c>
    </row>
    <row r="52" spans="1:11" hidden="1" x14ac:dyDescent="0.25">
      <c r="A52" t="s">
        <v>5</v>
      </c>
      <c r="B52" t="s">
        <v>6</v>
      </c>
      <c r="C52" t="s">
        <v>23</v>
      </c>
      <c r="D52" t="s">
        <v>24</v>
      </c>
      <c r="E52">
        <v>2021</v>
      </c>
      <c r="F52" t="s">
        <v>65</v>
      </c>
      <c r="G52" t="s">
        <v>66</v>
      </c>
      <c r="H52">
        <v>14.393157257185999</v>
      </c>
      <c r="I52">
        <f>_FIIPer100000[[#This Row],[No.Per100,000Adults]]-H51</f>
        <v>-0.15374501529130136</v>
      </c>
      <c r="J52" t="s">
        <v>67</v>
      </c>
      <c r="K52" t="s">
        <v>68</v>
      </c>
    </row>
    <row r="53" spans="1:11" hidden="1" x14ac:dyDescent="0.25">
      <c r="A53" t="s">
        <v>5</v>
      </c>
      <c r="B53" t="s">
        <v>6</v>
      </c>
      <c r="C53" t="s">
        <v>23</v>
      </c>
      <c r="D53" t="s">
        <v>24</v>
      </c>
      <c r="E53">
        <v>2022</v>
      </c>
      <c r="F53" t="s">
        <v>65</v>
      </c>
      <c r="G53" t="s">
        <v>66</v>
      </c>
      <c r="H53">
        <v>14.267091292391701</v>
      </c>
      <c r="I53">
        <f>_FIIPer100000[[#This Row],[No.Per100,000Adults]]-H52</f>
        <v>-0.12606596479429832</v>
      </c>
      <c r="J53" t="s">
        <v>67</v>
      </c>
      <c r="K53" t="s">
        <v>68</v>
      </c>
    </row>
    <row r="54" spans="1:11" hidden="1" x14ac:dyDescent="0.25">
      <c r="A54" t="s">
        <v>5</v>
      </c>
      <c r="B54" t="s">
        <v>6</v>
      </c>
      <c r="C54" t="s">
        <v>23</v>
      </c>
      <c r="D54" t="s">
        <v>24</v>
      </c>
      <c r="E54">
        <v>2023</v>
      </c>
      <c r="F54" t="s">
        <v>65</v>
      </c>
      <c r="G54" t="s">
        <v>66</v>
      </c>
      <c r="H54">
        <v>14.4058133124175</v>
      </c>
      <c r="I54">
        <f>_FIIPer100000[[#This Row],[No.Per100,000Adults]]-H53</f>
        <v>0.13872202002579925</v>
      </c>
      <c r="J54" t="s">
        <v>67</v>
      </c>
      <c r="K54" t="s">
        <v>68</v>
      </c>
    </row>
    <row r="55" spans="1:11" hidden="1" x14ac:dyDescent="0.25">
      <c r="A55" t="s">
        <v>5</v>
      </c>
      <c r="B55" t="s">
        <v>6</v>
      </c>
      <c r="C55" t="s">
        <v>23</v>
      </c>
      <c r="D55" t="s">
        <v>24</v>
      </c>
      <c r="E55">
        <v>2024</v>
      </c>
      <c r="F55" t="s">
        <v>65</v>
      </c>
      <c r="G55" t="s">
        <v>66</v>
      </c>
      <c r="H55">
        <v>14.620374015897699</v>
      </c>
      <c r="I55">
        <f>_FIIPer100000[[#This Row],[No.Per100,000Adults]]-H54</f>
        <v>0.21456070348019907</v>
      </c>
      <c r="J55" t="s">
        <v>67</v>
      </c>
      <c r="K55" t="s">
        <v>68</v>
      </c>
    </row>
    <row r="56" spans="1:11" hidden="1" x14ac:dyDescent="0.25">
      <c r="A56" t="s">
        <v>5</v>
      </c>
      <c r="B56" t="s">
        <v>6</v>
      </c>
      <c r="C56" t="s">
        <v>25</v>
      </c>
      <c r="D56" t="s">
        <v>26</v>
      </c>
      <c r="E56">
        <v>2019</v>
      </c>
      <c r="F56" t="s">
        <v>65</v>
      </c>
      <c r="G56" t="s">
        <v>66</v>
      </c>
      <c r="H56">
        <v>15.510578634706</v>
      </c>
      <c r="J56" t="s">
        <v>67</v>
      </c>
      <c r="K56" t="s">
        <v>68</v>
      </c>
    </row>
    <row r="57" spans="1:11" hidden="1" x14ac:dyDescent="0.25">
      <c r="A57" t="s">
        <v>5</v>
      </c>
      <c r="B57" t="s">
        <v>6</v>
      </c>
      <c r="C57" t="s">
        <v>25</v>
      </c>
      <c r="D57" t="s">
        <v>26</v>
      </c>
      <c r="E57">
        <v>2020</v>
      </c>
      <c r="F57" t="s">
        <v>65</v>
      </c>
      <c r="G57" t="s">
        <v>66</v>
      </c>
      <c r="H57">
        <v>15.132125306754</v>
      </c>
      <c r="I57">
        <f>_FIIPer100000[[#This Row],[No.Per100,000Adults]]-H56</f>
        <v>-0.37845332795200015</v>
      </c>
      <c r="J57" t="s">
        <v>67</v>
      </c>
      <c r="K57" t="s">
        <v>68</v>
      </c>
    </row>
    <row r="58" spans="1:11" hidden="1" x14ac:dyDescent="0.25">
      <c r="A58" t="s">
        <v>5</v>
      </c>
      <c r="B58" t="s">
        <v>6</v>
      </c>
      <c r="C58" t="s">
        <v>25</v>
      </c>
      <c r="D58" t="s">
        <v>26</v>
      </c>
      <c r="E58">
        <v>2021</v>
      </c>
      <c r="F58" t="s">
        <v>65</v>
      </c>
      <c r="G58" t="s">
        <v>66</v>
      </c>
      <c r="H58">
        <v>15.765371424052701</v>
      </c>
      <c r="I58">
        <f>_FIIPer100000[[#This Row],[No.Per100,000Adults]]-H57</f>
        <v>0.63324611729870028</v>
      </c>
      <c r="J58" t="s">
        <v>67</v>
      </c>
      <c r="K58" t="s">
        <v>68</v>
      </c>
    </row>
    <row r="59" spans="1:11" hidden="1" x14ac:dyDescent="0.25">
      <c r="A59" t="s">
        <v>5</v>
      </c>
      <c r="B59" t="s">
        <v>6</v>
      </c>
      <c r="C59" t="s">
        <v>25</v>
      </c>
      <c r="D59" t="s">
        <v>26</v>
      </c>
      <c r="E59">
        <v>2022</v>
      </c>
      <c r="F59" t="s">
        <v>65</v>
      </c>
      <c r="G59" t="s">
        <v>66</v>
      </c>
      <c r="H59">
        <v>12.230349658512001</v>
      </c>
      <c r="I59">
        <f>_FIIPer100000[[#This Row],[No.Per100,000Adults]]-H58</f>
        <v>-3.5350217655406997</v>
      </c>
      <c r="J59" t="s">
        <v>67</v>
      </c>
      <c r="K59" t="s">
        <v>68</v>
      </c>
    </row>
    <row r="60" spans="1:11" hidden="1" x14ac:dyDescent="0.25">
      <c r="A60" t="s">
        <v>5</v>
      </c>
      <c r="B60" t="s">
        <v>6</v>
      </c>
      <c r="C60" t="s">
        <v>25</v>
      </c>
      <c r="D60" t="s">
        <v>26</v>
      </c>
      <c r="E60">
        <v>2023</v>
      </c>
      <c r="F60" t="s">
        <v>65</v>
      </c>
      <c r="G60" t="s">
        <v>66</v>
      </c>
      <c r="H60">
        <v>11.5507974328301</v>
      </c>
      <c r="I60">
        <f>_FIIPer100000[[#This Row],[No.Per100,000Adults]]-H59</f>
        <v>-0.67955222568190088</v>
      </c>
      <c r="J60" t="s">
        <v>67</v>
      </c>
      <c r="K60" t="s">
        <v>68</v>
      </c>
    </row>
    <row r="61" spans="1:11" hidden="1" x14ac:dyDescent="0.25">
      <c r="A61" t="s">
        <v>5</v>
      </c>
      <c r="B61" t="s">
        <v>6</v>
      </c>
      <c r="C61" t="s">
        <v>25</v>
      </c>
      <c r="D61" t="s">
        <v>26</v>
      </c>
      <c r="E61">
        <v>2024</v>
      </c>
      <c r="F61" t="s">
        <v>65</v>
      </c>
      <c r="G61" t="s">
        <v>66</v>
      </c>
      <c r="H61">
        <v>11.2296187378829</v>
      </c>
      <c r="I61">
        <f>_FIIPer100000[[#This Row],[No.Per100,000Adults]]-H60</f>
        <v>-0.32117869494719997</v>
      </c>
      <c r="J61" t="s">
        <v>67</v>
      </c>
      <c r="K61" t="s">
        <v>68</v>
      </c>
    </row>
    <row r="62" spans="1:11" hidden="1" x14ac:dyDescent="0.25">
      <c r="A62" t="s">
        <v>5</v>
      </c>
      <c r="B62" t="s">
        <v>6</v>
      </c>
      <c r="C62" t="s">
        <v>27</v>
      </c>
      <c r="D62" t="s">
        <v>28</v>
      </c>
      <c r="E62">
        <v>2019</v>
      </c>
      <c r="F62" t="s">
        <v>65</v>
      </c>
      <c r="G62" t="s">
        <v>66</v>
      </c>
      <c r="H62">
        <v>39.093337928518501</v>
      </c>
      <c r="J62" t="s">
        <v>67</v>
      </c>
      <c r="K62" t="s">
        <v>68</v>
      </c>
    </row>
    <row r="63" spans="1:11" hidden="1" x14ac:dyDescent="0.25">
      <c r="A63" t="s">
        <v>5</v>
      </c>
      <c r="B63" t="s">
        <v>6</v>
      </c>
      <c r="C63" t="s">
        <v>27</v>
      </c>
      <c r="D63" t="s">
        <v>28</v>
      </c>
      <c r="E63">
        <v>2020</v>
      </c>
      <c r="F63" t="s">
        <v>65</v>
      </c>
      <c r="G63" t="s">
        <v>66</v>
      </c>
      <c r="H63">
        <v>37.633715486023</v>
      </c>
      <c r="I63">
        <f>_FIIPer100000[[#This Row],[No.Per100,000Adults]]-H62</f>
        <v>-1.4596224424955011</v>
      </c>
      <c r="J63" t="s">
        <v>67</v>
      </c>
      <c r="K63" t="s">
        <v>68</v>
      </c>
    </row>
    <row r="64" spans="1:11" hidden="1" x14ac:dyDescent="0.25">
      <c r="A64" t="s">
        <v>5</v>
      </c>
      <c r="B64" t="s">
        <v>6</v>
      </c>
      <c r="C64" t="s">
        <v>27</v>
      </c>
      <c r="D64" t="s">
        <v>28</v>
      </c>
      <c r="E64">
        <v>2021</v>
      </c>
      <c r="F64" t="s">
        <v>65</v>
      </c>
      <c r="G64" t="s">
        <v>66</v>
      </c>
      <c r="H64">
        <v>34.365636438117697</v>
      </c>
      <c r="I64">
        <f>_FIIPer100000[[#This Row],[No.Per100,000Adults]]-H63</f>
        <v>-3.268079047905303</v>
      </c>
      <c r="J64" t="s">
        <v>67</v>
      </c>
      <c r="K64" t="s">
        <v>68</v>
      </c>
    </row>
    <row r="65" spans="1:11" hidden="1" x14ac:dyDescent="0.25">
      <c r="A65" t="s">
        <v>5</v>
      </c>
      <c r="B65" t="s">
        <v>6</v>
      </c>
      <c r="C65" t="s">
        <v>27</v>
      </c>
      <c r="D65" t="s">
        <v>28</v>
      </c>
      <c r="E65">
        <v>2022</v>
      </c>
      <c r="F65" t="s">
        <v>65</v>
      </c>
      <c r="G65" t="s">
        <v>66</v>
      </c>
      <c r="H65">
        <v>33.074153179826403</v>
      </c>
      <c r="I65">
        <f>_FIIPer100000[[#This Row],[No.Per100,000Adults]]-H64</f>
        <v>-1.2914832582912936</v>
      </c>
      <c r="J65" t="s">
        <v>67</v>
      </c>
      <c r="K65" t="s">
        <v>68</v>
      </c>
    </row>
    <row r="66" spans="1:11" hidden="1" x14ac:dyDescent="0.25">
      <c r="A66" t="s">
        <v>5</v>
      </c>
      <c r="B66" t="s">
        <v>6</v>
      </c>
      <c r="C66" t="s">
        <v>27</v>
      </c>
      <c r="D66" t="s">
        <v>28</v>
      </c>
      <c r="E66">
        <v>2023</v>
      </c>
      <c r="F66" t="s">
        <v>65</v>
      </c>
      <c r="G66" t="s">
        <v>66</v>
      </c>
      <c r="H66">
        <v>31.4032369336024</v>
      </c>
      <c r="I66">
        <f>_FIIPer100000[[#This Row],[No.Per100,000Adults]]-H65</f>
        <v>-1.670916246224003</v>
      </c>
      <c r="J66" t="s">
        <v>67</v>
      </c>
      <c r="K66" t="s">
        <v>68</v>
      </c>
    </row>
    <row r="67" spans="1:11" hidden="1" x14ac:dyDescent="0.25">
      <c r="A67" t="s">
        <v>5</v>
      </c>
      <c r="B67" t="s">
        <v>6</v>
      </c>
      <c r="C67" t="s">
        <v>27</v>
      </c>
      <c r="D67" t="s">
        <v>28</v>
      </c>
      <c r="E67">
        <v>2024</v>
      </c>
      <c r="F67" t="s">
        <v>65</v>
      </c>
      <c r="G67" t="s">
        <v>66</v>
      </c>
      <c r="H67">
        <v>30.326397546457599</v>
      </c>
      <c r="I67">
        <f>_FIIPer100000[[#This Row],[No.Per100,000Adults]]-H66</f>
        <v>-1.0768393871448012</v>
      </c>
      <c r="J67" t="s">
        <v>67</v>
      </c>
      <c r="K67" t="s">
        <v>68</v>
      </c>
    </row>
    <row r="68" spans="1:11" hidden="1" x14ac:dyDescent="0.25">
      <c r="A68" t="s">
        <v>5</v>
      </c>
      <c r="B68" t="s">
        <v>6</v>
      </c>
      <c r="C68" t="s">
        <v>29</v>
      </c>
      <c r="D68" t="s">
        <v>30</v>
      </c>
      <c r="E68">
        <v>2019</v>
      </c>
      <c r="F68" t="s">
        <v>65</v>
      </c>
      <c r="G68" t="s">
        <v>66</v>
      </c>
      <c r="H68">
        <v>33.7415845186502</v>
      </c>
      <c r="J68" t="s">
        <v>67</v>
      </c>
      <c r="K68" t="s">
        <v>68</v>
      </c>
    </row>
    <row r="69" spans="1:11" hidden="1" x14ac:dyDescent="0.25">
      <c r="A69" t="s">
        <v>5</v>
      </c>
      <c r="B69" t="s">
        <v>6</v>
      </c>
      <c r="C69" t="s">
        <v>29</v>
      </c>
      <c r="D69" t="s">
        <v>30</v>
      </c>
      <c r="E69">
        <v>2020</v>
      </c>
      <c r="F69" t="s">
        <v>65</v>
      </c>
      <c r="G69" t="s">
        <v>66</v>
      </c>
      <c r="H69">
        <v>33.718919963802101</v>
      </c>
      <c r="I69">
        <f>_FIIPer100000[[#This Row],[No.Per100,000Adults]]-H68</f>
        <v>-2.2664554848098817E-2</v>
      </c>
      <c r="J69" t="s">
        <v>67</v>
      </c>
      <c r="K69" t="s">
        <v>68</v>
      </c>
    </row>
    <row r="70" spans="1:11" hidden="1" x14ac:dyDescent="0.25">
      <c r="A70" t="s">
        <v>5</v>
      </c>
      <c r="B70" t="s">
        <v>6</v>
      </c>
      <c r="C70" t="s">
        <v>29</v>
      </c>
      <c r="D70" t="s">
        <v>30</v>
      </c>
      <c r="E70">
        <v>2021</v>
      </c>
      <c r="F70" t="s">
        <v>65</v>
      </c>
      <c r="G70" t="s">
        <v>66</v>
      </c>
      <c r="H70">
        <v>33.797077350264203</v>
      </c>
      <c r="I70">
        <f>_FIIPer100000[[#This Row],[No.Per100,000Adults]]-H69</f>
        <v>7.8157386462102352E-2</v>
      </c>
      <c r="J70" t="s">
        <v>67</v>
      </c>
      <c r="K70" t="s">
        <v>68</v>
      </c>
    </row>
    <row r="71" spans="1:11" hidden="1" x14ac:dyDescent="0.25">
      <c r="A71" t="s">
        <v>5</v>
      </c>
      <c r="B71" t="s">
        <v>6</v>
      </c>
      <c r="C71" t="s">
        <v>29</v>
      </c>
      <c r="D71" t="s">
        <v>30</v>
      </c>
      <c r="E71">
        <v>2022</v>
      </c>
      <c r="F71" t="s">
        <v>65</v>
      </c>
      <c r="G71" t="s">
        <v>66</v>
      </c>
      <c r="H71">
        <v>33.754812556561703</v>
      </c>
      <c r="I71">
        <f>_FIIPer100000[[#This Row],[No.Per100,000Adults]]-H70</f>
        <v>-4.2264793702500469E-2</v>
      </c>
      <c r="J71" t="s">
        <v>67</v>
      </c>
      <c r="K71" t="s">
        <v>68</v>
      </c>
    </row>
    <row r="72" spans="1:11" hidden="1" x14ac:dyDescent="0.25">
      <c r="A72" t="s">
        <v>5</v>
      </c>
      <c r="B72" t="s">
        <v>6</v>
      </c>
      <c r="C72" t="s">
        <v>29</v>
      </c>
      <c r="D72" t="s">
        <v>30</v>
      </c>
      <c r="E72">
        <v>2023</v>
      </c>
      <c r="F72" t="s">
        <v>65</v>
      </c>
      <c r="G72" t="s">
        <v>66</v>
      </c>
      <c r="H72">
        <v>33.742883824780797</v>
      </c>
      <c r="I72">
        <f>_FIIPer100000[[#This Row],[No.Per100,000Adults]]-H71</f>
        <v>-1.1928731780905366E-2</v>
      </c>
      <c r="J72" t="s">
        <v>67</v>
      </c>
      <c r="K72" t="s">
        <v>68</v>
      </c>
    </row>
    <row r="73" spans="1:11" hidden="1" x14ac:dyDescent="0.25">
      <c r="A73" t="s">
        <v>5</v>
      </c>
      <c r="B73" t="s">
        <v>6</v>
      </c>
      <c r="C73" t="s">
        <v>29</v>
      </c>
      <c r="D73" t="s">
        <v>30</v>
      </c>
      <c r="E73">
        <v>2024</v>
      </c>
      <c r="F73" t="s">
        <v>65</v>
      </c>
      <c r="G73" t="s">
        <v>66</v>
      </c>
      <c r="H73">
        <v>33.706619565136599</v>
      </c>
      <c r="I73">
        <f>_FIIPer100000[[#This Row],[No.Per100,000Adults]]-H72</f>
        <v>-3.626425964419866E-2</v>
      </c>
      <c r="J73" t="s">
        <v>67</v>
      </c>
      <c r="K73" t="s">
        <v>68</v>
      </c>
    </row>
    <row r="74" spans="1:11" hidden="1" x14ac:dyDescent="0.25">
      <c r="A74" t="s">
        <v>45</v>
      </c>
      <c r="B74" t="s">
        <v>46</v>
      </c>
      <c r="C74" t="s">
        <v>49</v>
      </c>
      <c r="D74" t="s">
        <v>50</v>
      </c>
      <c r="E74">
        <v>2019</v>
      </c>
      <c r="F74" t="s">
        <v>65</v>
      </c>
      <c r="G74" t="s">
        <v>66</v>
      </c>
      <c r="H74">
        <v>12.047816191241999</v>
      </c>
      <c r="J74" t="s">
        <v>67</v>
      </c>
      <c r="K74" t="s">
        <v>68</v>
      </c>
    </row>
    <row r="75" spans="1:11" hidden="1" x14ac:dyDescent="0.25">
      <c r="A75" t="s">
        <v>45</v>
      </c>
      <c r="B75" t="s">
        <v>46</v>
      </c>
      <c r="C75" t="s">
        <v>49</v>
      </c>
      <c r="D75" t="s">
        <v>50</v>
      </c>
      <c r="E75">
        <v>2020</v>
      </c>
      <c r="F75" t="s">
        <v>65</v>
      </c>
      <c r="G75" t="s">
        <v>66</v>
      </c>
      <c r="H75">
        <v>11.652041970254301</v>
      </c>
      <c r="I75">
        <f>_FIIPer100000[[#This Row],[No.Per100,000Adults]]-H74</f>
        <v>-0.39577422098769865</v>
      </c>
      <c r="J75" t="s">
        <v>67</v>
      </c>
      <c r="K75" t="s">
        <v>68</v>
      </c>
    </row>
    <row r="76" spans="1:11" hidden="1" x14ac:dyDescent="0.25">
      <c r="A76" t="s">
        <v>45</v>
      </c>
      <c r="B76" t="s">
        <v>46</v>
      </c>
      <c r="C76" t="s">
        <v>49</v>
      </c>
      <c r="D76" t="s">
        <v>50</v>
      </c>
      <c r="E76">
        <v>2021</v>
      </c>
      <c r="F76" t="s">
        <v>65</v>
      </c>
      <c r="G76" t="s">
        <v>66</v>
      </c>
      <c r="H76">
        <v>12.195709864923099</v>
      </c>
      <c r="I76">
        <f>_FIIPer100000[[#This Row],[No.Per100,000Adults]]-H75</f>
        <v>0.54366789466879872</v>
      </c>
      <c r="J76" t="s">
        <v>67</v>
      </c>
      <c r="K76" t="s">
        <v>68</v>
      </c>
    </row>
    <row r="77" spans="1:11" hidden="1" x14ac:dyDescent="0.25">
      <c r="A77" t="s">
        <v>45</v>
      </c>
      <c r="B77" t="s">
        <v>46</v>
      </c>
      <c r="C77" t="s">
        <v>49</v>
      </c>
      <c r="D77" t="s">
        <v>50</v>
      </c>
      <c r="E77">
        <v>2022</v>
      </c>
      <c r="F77" t="s">
        <v>65</v>
      </c>
      <c r="G77" t="s">
        <v>66</v>
      </c>
      <c r="H77">
        <v>11.3817129855635</v>
      </c>
      <c r="I77">
        <f>_FIIPer100000[[#This Row],[No.Per100,000Adults]]-H76</f>
        <v>-0.81399687935959975</v>
      </c>
      <c r="J77" t="s">
        <v>67</v>
      </c>
      <c r="K77" t="s">
        <v>68</v>
      </c>
    </row>
    <row r="78" spans="1:11" hidden="1" x14ac:dyDescent="0.25">
      <c r="A78" t="s">
        <v>45</v>
      </c>
      <c r="B78" t="s">
        <v>46</v>
      </c>
      <c r="C78" t="s">
        <v>49</v>
      </c>
      <c r="D78" t="s">
        <v>50</v>
      </c>
      <c r="E78">
        <v>2023</v>
      </c>
      <c r="F78" t="s">
        <v>65</v>
      </c>
      <c r="G78" t="s">
        <v>66</v>
      </c>
      <c r="H78">
        <v>10.758006614781801</v>
      </c>
      <c r="I78">
        <f>_FIIPer100000[[#This Row],[No.Per100,000Adults]]-H77</f>
        <v>-0.62370637078169899</v>
      </c>
      <c r="J78" t="s">
        <v>67</v>
      </c>
      <c r="K78" t="s">
        <v>68</v>
      </c>
    </row>
    <row r="79" spans="1:11" hidden="1" x14ac:dyDescent="0.25">
      <c r="A79" t="s">
        <v>45</v>
      </c>
      <c r="B79" t="s">
        <v>46</v>
      </c>
      <c r="C79" t="s">
        <v>49</v>
      </c>
      <c r="D79" t="s">
        <v>50</v>
      </c>
      <c r="E79">
        <v>2024</v>
      </c>
      <c r="F79" t="s">
        <v>65</v>
      </c>
      <c r="G79" t="s">
        <v>66</v>
      </c>
      <c r="H79">
        <v>10.079448177254701</v>
      </c>
      <c r="I79">
        <f>_FIIPer100000[[#This Row],[No.Per100,000Adults]]-H78</f>
        <v>-0.67855843752709966</v>
      </c>
      <c r="J79" t="s">
        <v>67</v>
      </c>
      <c r="K79" t="s">
        <v>68</v>
      </c>
    </row>
    <row r="80" spans="1:11" hidden="1" x14ac:dyDescent="0.25">
      <c r="A80" t="s">
        <v>5</v>
      </c>
      <c r="B80" t="s">
        <v>6</v>
      </c>
      <c r="C80" t="s">
        <v>33</v>
      </c>
      <c r="D80" t="s">
        <v>34</v>
      </c>
      <c r="E80">
        <v>2019</v>
      </c>
      <c r="F80" t="s">
        <v>65</v>
      </c>
      <c r="G80" t="s">
        <v>66</v>
      </c>
      <c r="H80">
        <v>13.962226051905199</v>
      </c>
      <c r="J80" t="s">
        <v>67</v>
      </c>
      <c r="K80" t="s">
        <v>68</v>
      </c>
    </row>
    <row r="81" spans="1:11" hidden="1" x14ac:dyDescent="0.25">
      <c r="A81" t="s">
        <v>5</v>
      </c>
      <c r="B81" t="s">
        <v>6</v>
      </c>
      <c r="C81" t="s">
        <v>33</v>
      </c>
      <c r="D81" t="s">
        <v>34</v>
      </c>
      <c r="E81">
        <v>2020</v>
      </c>
      <c r="F81" t="s">
        <v>65</v>
      </c>
      <c r="G81" t="s">
        <v>66</v>
      </c>
      <c r="H81">
        <v>13.0323298101966</v>
      </c>
      <c r="I81">
        <f>_FIIPer100000[[#This Row],[No.Per100,000Adults]]-H80</f>
        <v>-0.92989624170859919</v>
      </c>
      <c r="J81" t="s">
        <v>67</v>
      </c>
      <c r="K81" t="s">
        <v>68</v>
      </c>
    </row>
    <row r="82" spans="1:11" hidden="1" x14ac:dyDescent="0.25">
      <c r="A82" t="s">
        <v>5</v>
      </c>
      <c r="B82" t="s">
        <v>6</v>
      </c>
      <c r="C82" t="s">
        <v>33</v>
      </c>
      <c r="D82" t="s">
        <v>34</v>
      </c>
      <c r="E82">
        <v>2021</v>
      </c>
      <c r="F82" t="s">
        <v>65</v>
      </c>
      <c r="G82" t="s">
        <v>66</v>
      </c>
      <c r="H82">
        <v>12.2518189936116</v>
      </c>
      <c r="I82">
        <f>_FIIPer100000[[#This Row],[No.Per100,000Adults]]-H81</f>
        <v>-0.7805108165850001</v>
      </c>
      <c r="J82" t="s">
        <v>67</v>
      </c>
      <c r="K82" t="s">
        <v>68</v>
      </c>
    </row>
    <row r="83" spans="1:11" hidden="1" x14ac:dyDescent="0.25">
      <c r="A83" t="s">
        <v>5</v>
      </c>
      <c r="B83" t="s">
        <v>6</v>
      </c>
      <c r="C83" t="s">
        <v>33</v>
      </c>
      <c r="D83" t="s">
        <v>34</v>
      </c>
      <c r="E83">
        <v>2022</v>
      </c>
      <c r="F83" t="s">
        <v>65</v>
      </c>
      <c r="G83" t="s">
        <v>66</v>
      </c>
      <c r="H83">
        <v>12.3819168631422</v>
      </c>
      <c r="I83">
        <f>_FIIPer100000[[#This Row],[No.Per100,000Adults]]-H82</f>
        <v>0.13009786953059965</v>
      </c>
      <c r="J83" t="s">
        <v>67</v>
      </c>
      <c r="K83" t="s">
        <v>68</v>
      </c>
    </row>
    <row r="84" spans="1:11" hidden="1" x14ac:dyDescent="0.25">
      <c r="A84" t="s">
        <v>5</v>
      </c>
      <c r="B84" t="s">
        <v>6</v>
      </c>
      <c r="C84" t="s">
        <v>33</v>
      </c>
      <c r="D84" t="s">
        <v>34</v>
      </c>
      <c r="E84">
        <v>2023</v>
      </c>
      <c r="F84" t="s">
        <v>65</v>
      </c>
      <c r="G84" t="s">
        <v>66</v>
      </c>
      <c r="H84">
        <v>12.2029038948688</v>
      </c>
      <c r="I84">
        <f>_FIIPer100000[[#This Row],[No.Per100,000Adults]]-H83</f>
        <v>-0.17901296827339941</v>
      </c>
      <c r="J84" t="s">
        <v>67</v>
      </c>
      <c r="K84" t="s">
        <v>68</v>
      </c>
    </row>
    <row r="85" spans="1:11" hidden="1" x14ac:dyDescent="0.25">
      <c r="A85" t="s">
        <v>5</v>
      </c>
      <c r="B85" t="s">
        <v>6</v>
      </c>
      <c r="C85" t="s">
        <v>33</v>
      </c>
      <c r="D85" t="s">
        <v>34</v>
      </c>
      <c r="E85">
        <v>2024</v>
      </c>
      <c r="F85" t="s">
        <v>65</v>
      </c>
      <c r="G85" t="s">
        <v>66</v>
      </c>
      <c r="H85">
        <v>12.039967753050799</v>
      </c>
      <c r="I85">
        <f>_FIIPer100000[[#This Row],[No.Per100,000Adults]]-H84</f>
        <v>-0.16293614181800109</v>
      </c>
      <c r="J85" t="s">
        <v>67</v>
      </c>
      <c r="K85" t="s">
        <v>68</v>
      </c>
    </row>
    <row r="86" spans="1:11" hidden="1" x14ac:dyDescent="0.25">
      <c r="A86" t="s">
        <v>45</v>
      </c>
      <c r="B86" t="s">
        <v>46</v>
      </c>
      <c r="C86" t="s">
        <v>51</v>
      </c>
      <c r="D86" t="s">
        <v>52</v>
      </c>
      <c r="E86">
        <v>2019</v>
      </c>
      <c r="F86" t="s">
        <v>65</v>
      </c>
      <c r="G86" t="s">
        <v>66</v>
      </c>
      <c r="H86">
        <v>15.8452041037072</v>
      </c>
      <c r="J86" t="s">
        <v>67</v>
      </c>
      <c r="K86" t="s">
        <v>68</v>
      </c>
    </row>
    <row r="87" spans="1:11" hidden="1" x14ac:dyDescent="0.25">
      <c r="A87" t="s">
        <v>45</v>
      </c>
      <c r="B87" t="s">
        <v>46</v>
      </c>
      <c r="C87" t="s">
        <v>51</v>
      </c>
      <c r="D87" t="s">
        <v>52</v>
      </c>
      <c r="E87">
        <v>2020</v>
      </c>
      <c r="F87" t="s">
        <v>65</v>
      </c>
      <c r="G87" t="s">
        <v>66</v>
      </c>
      <c r="H87">
        <v>16.573994867408</v>
      </c>
      <c r="I87">
        <f>_FIIPer100000[[#This Row],[No.Per100,000Adults]]-H86</f>
        <v>0.72879076370080043</v>
      </c>
      <c r="J87" t="s">
        <v>67</v>
      </c>
      <c r="K87" t="s">
        <v>68</v>
      </c>
    </row>
    <row r="88" spans="1:11" hidden="1" x14ac:dyDescent="0.25">
      <c r="A88" t="s">
        <v>45</v>
      </c>
      <c r="B88" t="s">
        <v>46</v>
      </c>
      <c r="C88" t="s">
        <v>51</v>
      </c>
      <c r="D88" t="s">
        <v>52</v>
      </c>
      <c r="E88">
        <v>2021</v>
      </c>
      <c r="F88" t="s">
        <v>65</v>
      </c>
      <c r="G88" t="s">
        <v>66</v>
      </c>
      <c r="H88">
        <v>16.947986054748299</v>
      </c>
      <c r="I88">
        <f>_FIIPer100000[[#This Row],[No.Per100,000Adults]]-H87</f>
        <v>0.37399118734029813</v>
      </c>
      <c r="J88" t="s">
        <v>67</v>
      </c>
      <c r="K88" t="s">
        <v>68</v>
      </c>
    </row>
    <row r="89" spans="1:11" hidden="1" x14ac:dyDescent="0.25">
      <c r="A89" t="s">
        <v>45</v>
      </c>
      <c r="B89" t="s">
        <v>46</v>
      </c>
      <c r="C89" t="s">
        <v>51</v>
      </c>
      <c r="D89" t="s">
        <v>52</v>
      </c>
      <c r="E89">
        <v>2022</v>
      </c>
      <c r="F89" t="s">
        <v>65</v>
      </c>
      <c r="G89" t="s">
        <v>66</v>
      </c>
      <c r="H89">
        <v>15.9602512378507</v>
      </c>
      <c r="I89">
        <f>_FIIPer100000[[#This Row],[No.Per100,000Adults]]-H88</f>
        <v>-0.98773481689759812</v>
      </c>
      <c r="J89" t="s">
        <v>67</v>
      </c>
      <c r="K89" t="s">
        <v>68</v>
      </c>
    </row>
    <row r="90" spans="1:11" hidden="1" x14ac:dyDescent="0.25">
      <c r="A90" t="s">
        <v>45</v>
      </c>
      <c r="B90" t="s">
        <v>46</v>
      </c>
      <c r="C90" t="s">
        <v>51</v>
      </c>
      <c r="D90" t="s">
        <v>52</v>
      </c>
      <c r="E90">
        <v>2023</v>
      </c>
      <c r="F90" t="s">
        <v>65</v>
      </c>
      <c r="G90" t="s">
        <v>66</v>
      </c>
      <c r="J90" t="s">
        <v>67</v>
      </c>
      <c r="K90" t="s">
        <v>68</v>
      </c>
    </row>
    <row r="91" spans="1:11" hidden="1" x14ac:dyDescent="0.25">
      <c r="A91" t="s">
        <v>45</v>
      </c>
      <c r="B91" t="s">
        <v>46</v>
      </c>
      <c r="C91" t="s">
        <v>51</v>
      </c>
      <c r="D91" t="s">
        <v>52</v>
      </c>
      <c r="E91">
        <v>2024</v>
      </c>
      <c r="F91" t="s">
        <v>65</v>
      </c>
      <c r="G91" t="s">
        <v>66</v>
      </c>
      <c r="J91" t="s">
        <v>67</v>
      </c>
      <c r="K91" t="s">
        <v>68</v>
      </c>
    </row>
    <row r="92" spans="1:11" hidden="1" x14ac:dyDescent="0.25">
      <c r="A92" t="s">
        <v>45</v>
      </c>
      <c r="B92" t="s">
        <v>46</v>
      </c>
      <c r="C92" t="s">
        <v>53</v>
      </c>
      <c r="D92" t="s">
        <v>54</v>
      </c>
      <c r="E92">
        <v>2019</v>
      </c>
      <c r="F92" t="s">
        <v>65</v>
      </c>
      <c r="G92" t="s">
        <v>66</v>
      </c>
      <c r="H92">
        <v>10.4232135166458</v>
      </c>
      <c r="J92" t="s">
        <v>67</v>
      </c>
      <c r="K92" t="s">
        <v>68</v>
      </c>
    </row>
    <row r="93" spans="1:11" hidden="1" x14ac:dyDescent="0.25">
      <c r="A93" t="s">
        <v>45</v>
      </c>
      <c r="B93" t="s">
        <v>46</v>
      </c>
      <c r="C93" t="s">
        <v>53</v>
      </c>
      <c r="D93" t="s">
        <v>54</v>
      </c>
      <c r="E93">
        <v>2020</v>
      </c>
      <c r="F93" t="s">
        <v>65</v>
      </c>
      <c r="G93" t="s">
        <v>66</v>
      </c>
      <c r="H93">
        <v>9.0950239643305792</v>
      </c>
      <c r="I93">
        <f>_FIIPer100000[[#This Row],[No.Per100,000Adults]]-H92</f>
        <v>-1.3281895523152212</v>
      </c>
      <c r="J93" t="s">
        <v>67</v>
      </c>
      <c r="K93" t="s">
        <v>68</v>
      </c>
    </row>
    <row r="94" spans="1:11" hidden="1" x14ac:dyDescent="0.25">
      <c r="A94" t="s">
        <v>45</v>
      </c>
      <c r="B94" t="s">
        <v>46</v>
      </c>
      <c r="C94" t="s">
        <v>53</v>
      </c>
      <c r="D94" t="s">
        <v>54</v>
      </c>
      <c r="E94">
        <v>2021</v>
      </c>
      <c r="F94" t="s">
        <v>65</v>
      </c>
      <c r="G94" t="s">
        <v>66</v>
      </c>
      <c r="H94">
        <v>10.0209257728284</v>
      </c>
      <c r="I94">
        <f>_FIIPer100000[[#This Row],[No.Per100,000Adults]]-H93</f>
        <v>0.92590180849782122</v>
      </c>
      <c r="J94" t="s">
        <v>67</v>
      </c>
      <c r="K94" t="s">
        <v>68</v>
      </c>
    </row>
    <row r="95" spans="1:11" hidden="1" x14ac:dyDescent="0.25">
      <c r="A95" t="s">
        <v>45</v>
      </c>
      <c r="B95" t="s">
        <v>46</v>
      </c>
      <c r="C95" t="s">
        <v>53</v>
      </c>
      <c r="D95" t="s">
        <v>54</v>
      </c>
      <c r="E95">
        <v>2022</v>
      </c>
      <c r="F95" t="s">
        <v>65</v>
      </c>
      <c r="G95" t="s">
        <v>66</v>
      </c>
      <c r="J95" t="s">
        <v>67</v>
      </c>
      <c r="K95" t="s">
        <v>68</v>
      </c>
    </row>
    <row r="96" spans="1:11" hidden="1" x14ac:dyDescent="0.25">
      <c r="A96" t="s">
        <v>45</v>
      </c>
      <c r="B96" t="s">
        <v>46</v>
      </c>
      <c r="C96" t="s">
        <v>53</v>
      </c>
      <c r="D96" t="s">
        <v>54</v>
      </c>
      <c r="E96">
        <v>2023</v>
      </c>
      <c r="F96" t="s">
        <v>65</v>
      </c>
      <c r="G96" t="s">
        <v>66</v>
      </c>
      <c r="J96" t="s">
        <v>67</v>
      </c>
      <c r="K96" t="s">
        <v>68</v>
      </c>
    </row>
    <row r="97" spans="1:11" hidden="1" x14ac:dyDescent="0.25">
      <c r="A97" t="s">
        <v>45</v>
      </c>
      <c r="B97" t="s">
        <v>46</v>
      </c>
      <c r="C97" t="s">
        <v>53</v>
      </c>
      <c r="D97" t="s">
        <v>54</v>
      </c>
      <c r="E97">
        <v>2024</v>
      </c>
      <c r="F97" t="s">
        <v>65</v>
      </c>
      <c r="G97" t="s">
        <v>66</v>
      </c>
      <c r="J97" t="s">
        <v>67</v>
      </c>
      <c r="K97" t="s">
        <v>68</v>
      </c>
    </row>
    <row r="98" spans="1:11" hidden="1" x14ac:dyDescent="0.25">
      <c r="A98" t="s">
        <v>5</v>
      </c>
      <c r="B98" t="s">
        <v>6</v>
      </c>
      <c r="C98" t="s">
        <v>31</v>
      </c>
      <c r="D98" t="s">
        <v>32</v>
      </c>
      <c r="E98">
        <v>2019</v>
      </c>
      <c r="F98" t="s">
        <v>65</v>
      </c>
      <c r="G98" t="s">
        <v>66</v>
      </c>
      <c r="H98" t="s">
        <v>69</v>
      </c>
      <c r="J98" t="s">
        <v>67</v>
      </c>
      <c r="K98" t="s">
        <v>68</v>
      </c>
    </row>
    <row r="99" spans="1:11" hidden="1" x14ac:dyDescent="0.25">
      <c r="A99" t="s">
        <v>5</v>
      </c>
      <c r="B99" t="s">
        <v>6</v>
      </c>
      <c r="C99" t="s">
        <v>31</v>
      </c>
      <c r="D99" t="s">
        <v>32</v>
      </c>
      <c r="E99">
        <v>2020</v>
      </c>
      <c r="F99" t="s">
        <v>65</v>
      </c>
      <c r="G99" t="s">
        <v>66</v>
      </c>
      <c r="H99" t="s">
        <v>70</v>
      </c>
      <c r="I99">
        <f>_FIIPer100000[[#This Row],[No.Per100,000Adults]]-H98</f>
        <v>-0.7384923528374987</v>
      </c>
      <c r="J99" t="s">
        <v>67</v>
      </c>
      <c r="K99" t="s">
        <v>68</v>
      </c>
    </row>
    <row r="100" spans="1:11" hidden="1" x14ac:dyDescent="0.25">
      <c r="A100" t="s">
        <v>5</v>
      </c>
      <c r="B100" t="s">
        <v>6</v>
      </c>
      <c r="C100" t="s">
        <v>31</v>
      </c>
      <c r="D100" t="s">
        <v>32</v>
      </c>
      <c r="E100">
        <v>2021</v>
      </c>
      <c r="F100" t="s">
        <v>65</v>
      </c>
      <c r="G100" t="s">
        <v>66</v>
      </c>
      <c r="H100" t="s">
        <v>71</v>
      </c>
      <c r="I100">
        <f>_FIIPer100000[[#This Row],[No.Per100,000Adults]]-H99</f>
        <v>-0.71154686754130125</v>
      </c>
      <c r="J100" t="s">
        <v>67</v>
      </c>
      <c r="K100" t="s">
        <v>68</v>
      </c>
    </row>
    <row r="101" spans="1:11" hidden="1" x14ac:dyDescent="0.25">
      <c r="A101" t="s">
        <v>5</v>
      </c>
      <c r="B101" t="s">
        <v>6</v>
      </c>
      <c r="C101" t="s">
        <v>31</v>
      </c>
      <c r="D101" t="s">
        <v>32</v>
      </c>
      <c r="E101">
        <v>2022</v>
      </c>
      <c r="F101" t="s">
        <v>65</v>
      </c>
      <c r="G101" t="s">
        <v>66</v>
      </c>
      <c r="H101" t="s">
        <v>72</v>
      </c>
      <c r="I101">
        <f>_FIIPer100000[[#This Row],[No.Per100,000Adults]]-H100</f>
        <v>-0.68039065506509999</v>
      </c>
      <c r="J101" t="s">
        <v>67</v>
      </c>
      <c r="K101" t="s">
        <v>68</v>
      </c>
    </row>
    <row r="102" spans="1:11" hidden="1" x14ac:dyDescent="0.25">
      <c r="A102" t="s">
        <v>5</v>
      </c>
      <c r="B102" t="s">
        <v>6</v>
      </c>
      <c r="C102" t="s">
        <v>31</v>
      </c>
      <c r="D102" t="s">
        <v>32</v>
      </c>
      <c r="E102">
        <v>2023</v>
      </c>
      <c r="F102" t="s">
        <v>65</v>
      </c>
      <c r="G102" t="s">
        <v>66</v>
      </c>
      <c r="H102" t="s">
        <v>73</v>
      </c>
      <c r="I102">
        <f>_FIIPer100000[[#This Row],[No.Per100,000Adults]]-H101</f>
        <v>-0.1936199551398996</v>
      </c>
      <c r="J102" t="s">
        <v>67</v>
      </c>
      <c r="K102" t="s">
        <v>68</v>
      </c>
    </row>
    <row r="103" spans="1:11" hidden="1" x14ac:dyDescent="0.25">
      <c r="A103" t="s">
        <v>5</v>
      </c>
      <c r="B103" t="s">
        <v>6</v>
      </c>
      <c r="C103" t="s">
        <v>31</v>
      </c>
      <c r="D103" t="s">
        <v>32</v>
      </c>
      <c r="E103">
        <v>2024</v>
      </c>
      <c r="F103" t="s">
        <v>65</v>
      </c>
      <c r="G103" t="s">
        <v>66</v>
      </c>
      <c r="H103" t="s">
        <v>74</v>
      </c>
      <c r="I103">
        <f>_FIIPer100000[[#This Row],[No.Per100,000Adults]]-H102</f>
        <v>-0.30641274977729971</v>
      </c>
      <c r="J103" t="s">
        <v>67</v>
      </c>
      <c r="K103" t="s">
        <v>68</v>
      </c>
    </row>
    <row r="104" spans="1:11" hidden="1" x14ac:dyDescent="0.25">
      <c r="A104" t="s">
        <v>5</v>
      </c>
      <c r="B104" t="s">
        <v>6</v>
      </c>
      <c r="C104" t="s">
        <v>35</v>
      </c>
      <c r="D104" t="s">
        <v>36</v>
      </c>
      <c r="E104">
        <v>2019</v>
      </c>
      <c r="F104" t="s">
        <v>65</v>
      </c>
      <c r="G104" t="s">
        <v>66</v>
      </c>
      <c r="H104">
        <v>30.950246426626201</v>
      </c>
      <c r="J104" t="s">
        <v>67</v>
      </c>
      <c r="K104" t="s">
        <v>68</v>
      </c>
    </row>
    <row r="105" spans="1:11" hidden="1" x14ac:dyDescent="0.25">
      <c r="A105" t="s">
        <v>5</v>
      </c>
      <c r="B105" t="s">
        <v>6</v>
      </c>
      <c r="C105" t="s">
        <v>35</v>
      </c>
      <c r="D105" t="s">
        <v>36</v>
      </c>
      <c r="E105">
        <v>2020</v>
      </c>
      <c r="F105" t="s">
        <v>65</v>
      </c>
      <c r="G105" t="s">
        <v>66</v>
      </c>
      <c r="H105">
        <v>29.788928328165898</v>
      </c>
      <c r="I105">
        <f>_FIIPer100000[[#This Row],[No.Per100,000Adults]]-H104</f>
        <v>-1.1613180984603027</v>
      </c>
      <c r="J105" t="s">
        <v>67</v>
      </c>
      <c r="K105" t="s">
        <v>68</v>
      </c>
    </row>
    <row r="106" spans="1:11" hidden="1" x14ac:dyDescent="0.25">
      <c r="A106" t="s">
        <v>5</v>
      </c>
      <c r="B106" t="s">
        <v>6</v>
      </c>
      <c r="C106" t="s">
        <v>35</v>
      </c>
      <c r="D106" t="s">
        <v>36</v>
      </c>
      <c r="E106">
        <v>2021</v>
      </c>
      <c r="F106" t="s">
        <v>65</v>
      </c>
      <c r="G106" t="s">
        <v>66</v>
      </c>
      <c r="H106">
        <v>28.142708322691998</v>
      </c>
      <c r="I106">
        <f>_FIIPer100000[[#This Row],[No.Per100,000Adults]]-H105</f>
        <v>-1.6462200054739</v>
      </c>
      <c r="J106" t="s">
        <v>67</v>
      </c>
      <c r="K106" t="s">
        <v>68</v>
      </c>
    </row>
    <row r="107" spans="1:11" hidden="1" x14ac:dyDescent="0.25">
      <c r="A107" t="s">
        <v>5</v>
      </c>
      <c r="B107" t="s">
        <v>6</v>
      </c>
      <c r="C107" t="s">
        <v>35</v>
      </c>
      <c r="D107" t="s">
        <v>36</v>
      </c>
      <c r="E107">
        <v>2022</v>
      </c>
      <c r="F107" t="s">
        <v>65</v>
      </c>
      <c r="G107" t="s">
        <v>66</v>
      </c>
      <c r="H107">
        <v>26.5681232345575</v>
      </c>
      <c r="I107">
        <f>_FIIPer100000[[#This Row],[No.Per100,000Adults]]-H106</f>
        <v>-1.5745850881344978</v>
      </c>
      <c r="J107" t="s">
        <v>67</v>
      </c>
      <c r="K107" t="s">
        <v>68</v>
      </c>
    </row>
    <row r="108" spans="1:11" hidden="1" x14ac:dyDescent="0.25">
      <c r="A108" t="s">
        <v>5</v>
      </c>
      <c r="B108" t="s">
        <v>6</v>
      </c>
      <c r="C108" t="s">
        <v>35</v>
      </c>
      <c r="D108" t="s">
        <v>36</v>
      </c>
      <c r="E108">
        <v>2023</v>
      </c>
      <c r="F108" t="s">
        <v>65</v>
      </c>
      <c r="G108" t="s">
        <v>66</v>
      </c>
      <c r="H108">
        <v>27.079825645984801</v>
      </c>
      <c r="I108">
        <f>_FIIPer100000[[#This Row],[No.Per100,000Adults]]-H107</f>
        <v>0.51170241142730077</v>
      </c>
      <c r="J108" t="s">
        <v>67</v>
      </c>
      <c r="K108" t="s">
        <v>68</v>
      </c>
    </row>
    <row r="109" spans="1:11" hidden="1" x14ac:dyDescent="0.25">
      <c r="A109" t="s">
        <v>5</v>
      </c>
      <c r="B109" t="s">
        <v>6</v>
      </c>
      <c r="C109" t="s">
        <v>35</v>
      </c>
      <c r="D109" t="s">
        <v>36</v>
      </c>
      <c r="E109">
        <v>2024</v>
      </c>
      <c r="F109" t="s">
        <v>65</v>
      </c>
      <c r="G109" t="s">
        <v>66</v>
      </c>
      <c r="H109">
        <v>26.8138947123607</v>
      </c>
      <c r="I109">
        <f>_FIIPer100000[[#This Row],[No.Per100,000Adults]]-H108</f>
        <v>-0.26593093362410158</v>
      </c>
      <c r="J109" t="s">
        <v>67</v>
      </c>
      <c r="K109" t="s">
        <v>68</v>
      </c>
    </row>
    <row r="110" spans="1:11" hidden="1" x14ac:dyDescent="0.25">
      <c r="A110" t="s">
        <v>5</v>
      </c>
      <c r="B110" t="s">
        <v>6</v>
      </c>
      <c r="C110" t="s">
        <v>7</v>
      </c>
      <c r="D110" t="s">
        <v>8</v>
      </c>
      <c r="E110">
        <v>2019</v>
      </c>
      <c r="F110" t="s">
        <v>65</v>
      </c>
      <c r="G110" t="s">
        <v>66</v>
      </c>
      <c r="H110">
        <v>9.4122120606768203</v>
      </c>
      <c r="J110" t="s">
        <v>67</v>
      </c>
      <c r="K110" t="s">
        <v>68</v>
      </c>
    </row>
    <row r="111" spans="1:11" hidden="1" x14ac:dyDescent="0.25">
      <c r="A111" t="s">
        <v>5</v>
      </c>
      <c r="B111" t="s">
        <v>6</v>
      </c>
      <c r="C111" t="s">
        <v>7</v>
      </c>
      <c r="D111" t="s">
        <v>8</v>
      </c>
      <c r="E111">
        <v>2020</v>
      </c>
      <c r="F111" t="s">
        <v>65</v>
      </c>
      <c r="G111" t="s">
        <v>66</v>
      </c>
      <c r="H111">
        <v>8.6730969804521401</v>
      </c>
      <c r="I111">
        <f>_FIIPer100000[[#This Row],[No.Per100,000Adults]]-H110</f>
        <v>-0.7391150802246802</v>
      </c>
      <c r="J111" t="s">
        <v>67</v>
      </c>
      <c r="K111" t="s">
        <v>68</v>
      </c>
    </row>
    <row r="112" spans="1:11" hidden="1" x14ac:dyDescent="0.25">
      <c r="A112" t="s">
        <v>5</v>
      </c>
      <c r="B112" t="s">
        <v>6</v>
      </c>
      <c r="C112" t="s">
        <v>7</v>
      </c>
      <c r="D112" t="s">
        <v>8</v>
      </c>
      <c r="E112">
        <v>2021</v>
      </c>
      <c r="F112" t="s">
        <v>65</v>
      </c>
      <c r="G112" t="s">
        <v>66</v>
      </c>
      <c r="H112">
        <v>8.5603639427220806</v>
      </c>
      <c r="I112">
        <f>_FIIPer100000[[#This Row],[No.Per100,000Adults]]-H111</f>
        <v>-0.11273303773005949</v>
      </c>
      <c r="J112" t="s">
        <v>67</v>
      </c>
      <c r="K112" t="s">
        <v>68</v>
      </c>
    </row>
    <row r="113" spans="1:11" hidden="1" x14ac:dyDescent="0.25">
      <c r="A113" t="s">
        <v>5</v>
      </c>
      <c r="B113" t="s">
        <v>6</v>
      </c>
      <c r="C113" t="s">
        <v>7</v>
      </c>
      <c r="D113" t="s">
        <v>8</v>
      </c>
      <c r="E113">
        <v>2022</v>
      </c>
      <c r="F113" t="s">
        <v>65</v>
      </c>
      <c r="G113" t="s">
        <v>66</v>
      </c>
      <c r="H113">
        <v>8.0591304256012695</v>
      </c>
      <c r="I113">
        <f>_FIIPer100000[[#This Row],[No.Per100,000Adults]]-H112</f>
        <v>-0.5012335171208111</v>
      </c>
      <c r="J113" t="s">
        <v>67</v>
      </c>
      <c r="K113" t="s">
        <v>68</v>
      </c>
    </row>
    <row r="114" spans="1:11" hidden="1" x14ac:dyDescent="0.25">
      <c r="A114" t="s">
        <v>5</v>
      </c>
      <c r="B114" t="s">
        <v>6</v>
      </c>
      <c r="C114" t="s">
        <v>7</v>
      </c>
      <c r="D114" t="s">
        <v>8</v>
      </c>
      <c r="E114">
        <v>2023</v>
      </c>
      <c r="F114" t="s">
        <v>65</v>
      </c>
      <c r="G114" t="s">
        <v>66</v>
      </c>
      <c r="H114">
        <v>7.54068333523837</v>
      </c>
      <c r="I114">
        <f>_FIIPer100000[[#This Row],[No.Per100,000Adults]]-H113</f>
        <v>-0.51844709036289949</v>
      </c>
      <c r="J114" t="s">
        <v>67</v>
      </c>
      <c r="K114" t="s">
        <v>68</v>
      </c>
    </row>
    <row r="115" spans="1:11" hidden="1" x14ac:dyDescent="0.25">
      <c r="A115" t="s">
        <v>5</v>
      </c>
      <c r="B115" t="s">
        <v>6</v>
      </c>
      <c r="C115" t="s">
        <v>7</v>
      </c>
      <c r="D115" t="s">
        <v>8</v>
      </c>
      <c r="E115">
        <v>2024</v>
      </c>
      <c r="F115" t="s">
        <v>65</v>
      </c>
      <c r="G115" t="s">
        <v>66</v>
      </c>
      <c r="H115">
        <v>7.1879434129991404</v>
      </c>
      <c r="I115">
        <f>_FIIPer100000[[#This Row],[No.Per100,000Adults]]-H114</f>
        <v>-0.35273992223922956</v>
      </c>
      <c r="J115" t="s">
        <v>67</v>
      </c>
      <c r="K115" t="s">
        <v>68</v>
      </c>
    </row>
    <row r="116" spans="1:11" hidden="1" x14ac:dyDescent="0.25">
      <c r="A116" t="s">
        <v>45</v>
      </c>
      <c r="B116" t="s">
        <v>46</v>
      </c>
      <c r="C116" t="s">
        <v>7</v>
      </c>
      <c r="D116" t="s">
        <v>8</v>
      </c>
      <c r="E116">
        <v>2019</v>
      </c>
      <c r="F116" t="s">
        <v>65</v>
      </c>
      <c r="G116" t="s">
        <v>66</v>
      </c>
      <c r="H116">
        <v>9.4122120606768203</v>
      </c>
      <c r="J116" t="s">
        <v>67</v>
      </c>
      <c r="K116" t="s">
        <v>68</v>
      </c>
    </row>
    <row r="117" spans="1:11" hidden="1" x14ac:dyDescent="0.25">
      <c r="A117" t="s">
        <v>45</v>
      </c>
      <c r="B117" t="s">
        <v>46</v>
      </c>
      <c r="C117" t="s">
        <v>7</v>
      </c>
      <c r="D117" t="s">
        <v>8</v>
      </c>
      <c r="E117">
        <v>2020</v>
      </c>
      <c r="F117" t="s">
        <v>65</v>
      </c>
      <c r="G117" t="s">
        <v>66</v>
      </c>
      <c r="H117">
        <v>8.6730969804521401</v>
      </c>
      <c r="I117">
        <f>_FIIPer100000[[#This Row],[No.Per100,000Adults]]-H116</f>
        <v>-0.7391150802246802</v>
      </c>
      <c r="J117" t="s">
        <v>67</v>
      </c>
      <c r="K117" t="s">
        <v>68</v>
      </c>
    </row>
    <row r="118" spans="1:11" hidden="1" x14ac:dyDescent="0.25">
      <c r="A118" t="s">
        <v>45</v>
      </c>
      <c r="B118" t="s">
        <v>46</v>
      </c>
      <c r="C118" t="s">
        <v>7</v>
      </c>
      <c r="D118" t="s">
        <v>8</v>
      </c>
      <c r="E118">
        <v>2021</v>
      </c>
      <c r="F118" t="s">
        <v>65</v>
      </c>
      <c r="G118" t="s">
        <v>66</v>
      </c>
      <c r="H118">
        <v>8.5603639427220806</v>
      </c>
      <c r="I118">
        <f>_FIIPer100000[[#This Row],[No.Per100,000Adults]]-H117</f>
        <v>-0.11273303773005949</v>
      </c>
      <c r="J118" t="s">
        <v>67</v>
      </c>
      <c r="K118" t="s">
        <v>68</v>
      </c>
    </row>
    <row r="119" spans="1:11" hidden="1" x14ac:dyDescent="0.25">
      <c r="A119" t="s">
        <v>45</v>
      </c>
      <c r="B119" t="s">
        <v>46</v>
      </c>
      <c r="C119" t="s">
        <v>7</v>
      </c>
      <c r="D119" t="s">
        <v>8</v>
      </c>
      <c r="E119">
        <v>2022</v>
      </c>
      <c r="F119" t="s">
        <v>65</v>
      </c>
      <c r="G119" t="s">
        <v>66</v>
      </c>
      <c r="H119">
        <v>8.0591304256012695</v>
      </c>
      <c r="I119">
        <f>_FIIPer100000[[#This Row],[No.Per100,000Adults]]-H118</f>
        <v>-0.5012335171208111</v>
      </c>
      <c r="J119" t="s">
        <v>67</v>
      </c>
      <c r="K119" t="s">
        <v>68</v>
      </c>
    </row>
    <row r="120" spans="1:11" hidden="1" x14ac:dyDescent="0.25">
      <c r="A120" t="s">
        <v>45</v>
      </c>
      <c r="B120" t="s">
        <v>46</v>
      </c>
      <c r="C120" t="s">
        <v>7</v>
      </c>
      <c r="D120" t="s">
        <v>8</v>
      </c>
      <c r="E120">
        <v>2023</v>
      </c>
      <c r="F120" t="s">
        <v>65</v>
      </c>
      <c r="G120" t="s">
        <v>66</v>
      </c>
      <c r="H120">
        <v>7.54068333523837</v>
      </c>
      <c r="I120">
        <f>_FIIPer100000[[#This Row],[No.Per100,000Adults]]-H119</f>
        <v>-0.51844709036289949</v>
      </c>
      <c r="J120" t="s">
        <v>67</v>
      </c>
      <c r="K120" t="s">
        <v>68</v>
      </c>
    </row>
    <row r="121" spans="1:11" hidden="1" x14ac:dyDescent="0.25">
      <c r="A121" t="s">
        <v>45</v>
      </c>
      <c r="B121" t="s">
        <v>46</v>
      </c>
      <c r="C121" t="s">
        <v>7</v>
      </c>
      <c r="D121" t="s">
        <v>8</v>
      </c>
      <c r="E121">
        <v>2024</v>
      </c>
      <c r="F121" t="s">
        <v>65</v>
      </c>
      <c r="G121" t="s">
        <v>66</v>
      </c>
      <c r="H121">
        <v>7.1879434129991404</v>
      </c>
      <c r="I121">
        <f>_FIIPer100000[[#This Row],[No.Per100,000Adults]]-H120</f>
        <v>-0.35273992223922956</v>
      </c>
      <c r="J121" t="s">
        <v>67</v>
      </c>
      <c r="K121" t="s">
        <v>68</v>
      </c>
    </row>
    <row r="122" spans="1:11" hidden="1" x14ac:dyDescent="0.25">
      <c r="A122" t="s">
        <v>5</v>
      </c>
      <c r="B122" t="s">
        <v>6</v>
      </c>
      <c r="C122" t="s">
        <v>37</v>
      </c>
      <c r="D122" t="s">
        <v>38</v>
      </c>
      <c r="E122">
        <v>2019</v>
      </c>
      <c r="F122" t="s">
        <v>65</v>
      </c>
      <c r="G122" t="s">
        <v>66</v>
      </c>
      <c r="H122">
        <v>9.2269439714061807</v>
      </c>
      <c r="J122" t="s">
        <v>67</v>
      </c>
      <c r="K122" t="s">
        <v>68</v>
      </c>
    </row>
    <row r="123" spans="1:11" hidden="1" x14ac:dyDescent="0.25">
      <c r="A123" t="s">
        <v>5</v>
      </c>
      <c r="B123" t="s">
        <v>6</v>
      </c>
      <c r="C123" t="s">
        <v>37</v>
      </c>
      <c r="D123" t="s">
        <v>38</v>
      </c>
      <c r="E123">
        <v>2020</v>
      </c>
      <c r="F123" t="s">
        <v>65</v>
      </c>
      <c r="G123" t="s">
        <v>66</v>
      </c>
      <c r="H123">
        <v>8.8054905366196596</v>
      </c>
      <c r="I123">
        <f>_FIIPer100000[[#This Row],[No.Per100,000Adults]]-H122</f>
        <v>-0.42145343478652109</v>
      </c>
      <c r="J123" t="s">
        <v>67</v>
      </c>
      <c r="K123" t="s">
        <v>68</v>
      </c>
    </row>
    <row r="124" spans="1:11" hidden="1" x14ac:dyDescent="0.25">
      <c r="A124" t="s">
        <v>5</v>
      </c>
      <c r="B124" t="s">
        <v>6</v>
      </c>
      <c r="C124" t="s">
        <v>37</v>
      </c>
      <c r="D124" t="s">
        <v>38</v>
      </c>
      <c r="E124">
        <v>2021</v>
      </c>
      <c r="F124" t="s">
        <v>65</v>
      </c>
      <c r="G124" t="s">
        <v>66</v>
      </c>
      <c r="H124">
        <v>8.8934035848702706</v>
      </c>
      <c r="I124">
        <f>_FIIPer100000[[#This Row],[No.Per100,000Adults]]-H123</f>
        <v>8.791304825061097E-2</v>
      </c>
      <c r="J124" t="s">
        <v>67</v>
      </c>
      <c r="K124" t="s">
        <v>68</v>
      </c>
    </row>
    <row r="125" spans="1:11" hidden="1" x14ac:dyDescent="0.25">
      <c r="A125" t="s">
        <v>5</v>
      </c>
      <c r="B125" t="s">
        <v>6</v>
      </c>
      <c r="C125" t="s">
        <v>37</v>
      </c>
      <c r="D125" t="s">
        <v>38</v>
      </c>
      <c r="E125">
        <v>2022</v>
      </c>
      <c r="F125" t="s">
        <v>65</v>
      </c>
      <c r="G125" t="s">
        <v>66</v>
      </c>
      <c r="H125">
        <v>8.4769962259960199</v>
      </c>
      <c r="I125">
        <f>_FIIPer100000[[#This Row],[No.Per100,000Adults]]-H124</f>
        <v>-0.41640735887425073</v>
      </c>
      <c r="J125" t="s">
        <v>67</v>
      </c>
      <c r="K125" t="s">
        <v>68</v>
      </c>
    </row>
    <row r="126" spans="1:11" hidden="1" x14ac:dyDescent="0.25">
      <c r="A126" t="s">
        <v>5</v>
      </c>
      <c r="B126" t="s">
        <v>6</v>
      </c>
      <c r="C126" t="s">
        <v>37</v>
      </c>
      <c r="D126" t="s">
        <v>38</v>
      </c>
      <c r="E126">
        <v>2023</v>
      </c>
      <c r="F126" t="s">
        <v>65</v>
      </c>
      <c r="G126" t="s">
        <v>66</v>
      </c>
      <c r="H126">
        <v>8.0837272964334694</v>
      </c>
      <c r="I126">
        <f>_FIIPer100000[[#This Row],[No.Per100,000Adults]]-H125</f>
        <v>-0.39326892956255044</v>
      </c>
      <c r="J126" t="s">
        <v>67</v>
      </c>
      <c r="K126" t="s">
        <v>68</v>
      </c>
    </row>
    <row r="127" spans="1:11" hidden="1" x14ac:dyDescent="0.25">
      <c r="A127" t="s">
        <v>5</v>
      </c>
      <c r="B127" t="s">
        <v>6</v>
      </c>
      <c r="C127" t="s">
        <v>37</v>
      </c>
      <c r="D127" t="s">
        <v>38</v>
      </c>
      <c r="E127">
        <v>2024</v>
      </c>
      <c r="F127" t="s">
        <v>65</v>
      </c>
      <c r="G127" t="s">
        <v>66</v>
      </c>
      <c r="H127">
        <v>7.9785462477434503</v>
      </c>
      <c r="I127">
        <f>_FIIPer100000[[#This Row],[No.Per100,000Adults]]-H126</f>
        <v>-0.1051810486900191</v>
      </c>
      <c r="J127" t="s">
        <v>67</v>
      </c>
      <c r="K127" t="s">
        <v>68</v>
      </c>
    </row>
    <row r="128" spans="1:11" hidden="1" x14ac:dyDescent="0.25">
      <c r="A128" t="s">
        <v>5</v>
      </c>
      <c r="B128" t="s">
        <v>6</v>
      </c>
      <c r="C128" t="s">
        <v>39</v>
      </c>
      <c r="D128" t="s">
        <v>40</v>
      </c>
      <c r="E128">
        <v>2019</v>
      </c>
      <c r="F128" t="s">
        <v>65</v>
      </c>
      <c r="G128" t="s">
        <v>66</v>
      </c>
      <c r="H128">
        <v>15.984548196721599</v>
      </c>
      <c r="J128" t="s">
        <v>67</v>
      </c>
      <c r="K128" t="s">
        <v>68</v>
      </c>
    </row>
    <row r="129" spans="1:11" hidden="1" x14ac:dyDescent="0.25">
      <c r="A129" t="s">
        <v>5</v>
      </c>
      <c r="B129" t="s">
        <v>6</v>
      </c>
      <c r="C129" t="s">
        <v>39</v>
      </c>
      <c r="D129" t="s">
        <v>40</v>
      </c>
      <c r="E129">
        <v>2020</v>
      </c>
      <c r="F129" t="s">
        <v>65</v>
      </c>
      <c r="G129" t="s">
        <v>66</v>
      </c>
      <c r="H129">
        <v>15.384000937170899</v>
      </c>
      <c r="I129">
        <f>_FIIPer100000[[#This Row],[No.Per100,000Adults]]-H128</f>
        <v>-0.60054725955069976</v>
      </c>
      <c r="J129" t="s">
        <v>67</v>
      </c>
      <c r="K129" t="s">
        <v>68</v>
      </c>
    </row>
    <row r="130" spans="1:11" hidden="1" x14ac:dyDescent="0.25">
      <c r="A130" t="s">
        <v>5</v>
      </c>
      <c r="B130" t="s">
        <v>6</v>
      </c>
      <c r="C130" t="s">
        <v>39</v>
      </c>
      <c r="D130" t="s">
        <v>40</v>
      </c>
      <c r="E130">
        <v>2021</v>
      </c>
      <c r="F130" t="s">
        <v>65</v>
      </c>
      <c r="G130" t="s">
        <v>66</v>
      </c>
      <c r="H130">
        <v>14.961123162615801</v>
      </c>
      <c r="I130">
        <f>_FIIPer100000[[#This Row],[No.Per100,000Adults]]-H129</f>
        <v>-0.4228777745550989</v>
      </c>
      <c r="J130" t="s">
        <v>67</v>
      </c>
      <c r="K130" t="s">
        <v>68</v>
      </c>
    </row>
    <row r="131" spans="1:11" hidden="1" x14ac:dyDescent="0.25">
      <c r="A131" t="s">
        <v>5</v>
      </c>
      <c r="B131" t="s">
        <v>6</v>
      </c>
      <c r="C131" t="s">
        <v>39</v>
      </c>
      <c r="D131" t="s">
        <v>40</v>
      </c>
      <c r="E131">
        <v>2022</v>
      </c>
      <c r="F131" t="s">
        <v>65</v>
      </c>
      <c r="G131" t="s">
        <v>66</v>
      </c>
      <c r="H131">
        <v>14.4427660253151</v>
      </c>
      <c r="I131">
        <f>_FIIPer100000[[#This Row],[No.Per100,000Adults]]-H130</f>
        <v>-0.51835713730070054</v>
      </c>
      <c r="J131" t="s">
        <v>67</v>
      </c>
      <c r="K131" t="s">
        <v>68</v>
      </c>
    </row>
    <row r="132" spans="1:11" hidden="1" x14ac:dyDescent="0.25">
      <c r="A132" t="s">
        <v>5</v>
      </c>
      <c r="B132" t="s">
        <v>6</v>
      </c>
      <c r="C132" t="s">
        <v>39</v>
      </c>
      <c r="D132" t="s">
        <v>40</v>
      </c>
      <c r="E132">
        <v>2023</v>
      </c>
      <c r="F132" t="s">
        <v>65</v>
      </c>
      <c r="G132" t="s">
        <v>66</v>
      </c>
      <c r="H132">
        <v>14.177323575616001</v>
      </c>
      <c r="I132">
        <f>_FIIPer100000[[#This Row],[No.Per100,000Adults]]-H131</f>
        <v>-0.26544244969909947</v>
      </c>
      <c r="J132" t="s">
        <v>67</v>
      </c>
      <c r="K132" t="s">
        <v>68</v>
      </c>
    </row>
    <row r="133" spans="1:11" hidden="1" x14ac:dyDescent="0.25">
      <c r="A133" t="s">
        <v>5</v>
      </c>
      <c r="B133" t="s">
        <v>6</v>
      </c>
      <c r="C133" t="s">
        <v>39</v>
      </c>
      <c r="D133" t="s">
        <v>40</v>
      </c>
      <c r="E133">
        <v>2024</v>
      </c>
      <c r="F133" t="s">
        <v>65</v>
      </c>
      <c r="G133" t="s">
        <v>66</v>
      </c>
      <c r="H133">
        <v>13.698377273734099</v>
      </c>
      <c r="I133">
        <f>_FIIPer100000[[#This Row],[No.Per100,000Adults]]-H132</f>
        <v>-0.47894630188190135</v>
      </c>
      <c r="J133" t="s">
        <v>67</v>
      </c>
      <c r="K133" t="s">
        <v>68</v>
      </c>
    </row>
    <row r="134" spans="1:11" hidden="1" x14ac:dyDescent="0.25">
      <c r="A134" t="s">
        <v>45</v>
      </c>
      <c r="B134" t="s">
        <v>46</v>
      </c>
      <c r="C134" t="s">
        <v>55</v>
      </c>
      <c r="D134" t="s">
        <v>56</v>
      </c>
      <c r="E134">
        <v>2019</v>
      </c>
      <c r="F134" t="s">
        <v>65</v>
      </c>
      <c r="G134" t="s">
        <v>66</v>
      </c>
      <c r="H134">
        <v>10.273280917173601</v>
      </c>
      <c r="J134" t="s">
        <v>67</v>
      </c>
      <c r="K134" t="s">
        <v>68</v>
      </c>
    </row>
    <row r="135" spans="1:11" hidden="1" x14ac:dyDescent="0.25">
      <c r="A135" t="s">
        <v>45</v>
      </c>
      <c r="B135" t="s">
        <v>46</v>
      </c>
      <c r="C135" t="s">
        <v>55</v>
      </c>
      <c r="D135" t="s">
        <v>56</v>
      </c>
      <c r="E135">
        <v>2020</v>
      </c>
      <c r="F135" t="s">
        <v>65</v>
      </c>
      <c r="G135" t="s">
        <v>66</v>
      </c>
      <c r="H135">
        <v>8.7325508170782697</v>
      </c>
      <c r="I135">
        <f>_FIIPer100000[[#This Row],[No.Per100,000Adults]]-H134</f>
        <v>-1.5407301000953311</v>
      </c>
      <c r="J135" t="s">
        <v>67</v>
      </c>
      <c r="K135" t="s">
        <v>68</v>
      </c>
    </row>
    <row r="136" spans="1:11" hidden="1" x14ac:dyDescent="0.25">
      <c r="A136" t="s">
        <v>45</v>
      </c>
      <c r="B136" t="s">
        <v>46</v>
      </c>
      <c r="C136" t="s">
        <v>55</v>
      </c>
      <c r="D136" t="s">
        <v>56</v>
      </c>
      <c r="E136">
        <v>2021</v>
      </c>
      <c r="F136" t="s">
        <v>65</v>
      </c>
      <c r="G136" t="s">
        <v>66</v>
      </c>
      <c r="H136">
        <v>8.2404192051771208</v>
      </c>
      <c r="I136">
        <f>_FIIPer100000[[#This Row],[No.Per100,000Adults]]-H135</f>
        <v>-0.49213161190114896</v>
      </c>
      <c r="J136" t="s">
        <v>67</v>
      </c>
      <c r="K136" t="s">
        <v>68</v>
      </c>
    </row>
    <row r="137" spans="1:11" hidden="1" x14ac:dyDescent="0.25">
      <c r="A137" t="s">
        <v>45</v>
      </c>
      <c r="B137" t="s">
        <v>46</v>
      </c>
      <c r="C137" t="s">
        <v>55</v>
      </c>
      <c r="D137" t="s">
        <v>56</v>
      </c>
      <c r="E137">
        <v>2022</v>
      </c>
      <c r="F137" t="s">
        <v>65</v>
      </c>
      <c r="G137" t="s">
        <v>66</v>
      </c>
      <c r="H137">
        <v>7.6607360609755801</v>
      </c>
      <c r="I137">
        <f>_FIIPer100000[[#This Row],[No.Per100,000Adults]]-H136</f>
        <v>-0.57968314420154066</v>
      </c>
      <c r="J137" t="s">
        <v>67</v>
      </c>
      <c r="K137" t="s">
        <v>68</v>
      </c>
    </row>
    <row r="138" spans="1:11" hidden="1" x14ac:dyDescent="0.25">
      <c r="A138" t="s">
        <v>45</v>
      </c>
      <c r="B138" t="s">
        <v>46</v>
      </c>
      <c r="C138" t="s">
        <v>55</v>
      </c>
      <c r="D138" t="s">
        <v>56</v>
      </c>
      <c r="E138">
        <v>2023</v>
      </c>
      <c r="F138" t="s">
        <v>65</v>
      </c>
      <c r="G138" t="s">
        <v>66</v>
      </c>
      <c r="H138">
        <v>7.2384069406779901</v>
      </c>
      <c r="I138">
        <f>_FIIPer100000[[#This Row],[No.Per100,000Adults]]-H137</f>
        <v>-0.42232912029759007</v>
      </c>
      <c r="J138" t="s">
        <v>67</v>
      </c>
      <c r="K138" t="s">
        <v>68</v>
      </c>
    </row>
    <row r="139" spans="1:11" hidden="1" x14ac:dyDescent="0.25">
      <c r="A139" t="s">
        <v>45</v>
      </c>
      <c r="B139" t="s">
        <v>46</v>
      </c>
      <c r="C139" t="s">
        <v>55</v>
      </c>
      <c r="D139" t="s">
        <v>56</v>
      </c>
      <c r="E139">
        <v>2024</v>
      </c>
      <c r="F139" t="s">
        <v>65</v>
      </c>
      <c r="G139" t="s">
        <v>66</v>
      </c>
      <c r="J139" t="s">
        <v>67</v>
      </c>
      <c r="K139" t="s">
        <v>68</v>
      </c>
    </row>
    <row r="140" spans="1:11" hidden="1" x14ac:dyDescent="0.25">
      <c r="A140" t="s">
        <v>5</v>
      </c>
      <c r="B140" t="s">
        <v>6</v>
      </c>
      <c r="C140" t="s">
        <v>43</v>
      </c>
      <c r="D140" t="s">
        <v>44</v>
      </c>
      <c r="E140">
        <v>2019</v>
      </c>
      <c r="F140" t="s">
        <v>65</v>
      </c>
      <c r="G140" t="s">
        <v>66</v>
      </c>
      <c r="H140">
        <v>30.302896362643398</v>
      </c>
      <c r="J140" t="s">
        <v>67</v>
      </c>
      <c r="K140" t="s">
        <v>68</v>
      </c>
    </row>
    <row r="141" spans="1:11" hidden="1" x14ac:dyDescent="0.25">
      <c r="A141" t="s">
        <v>5</v>
      </c>
      <c r="B141" t="s">
        <v>6</v>
      </c>
      <c r="C141" t="s">
        <v>43</v>
      </c>
      <c r="D141" t="s">
        <v>44</v>
      </c>
      <c r="E141">
        <v>2020</v>
      </c>
      <c r="F141" t="s">
        <v>65</v>
      </c>
      <c r="G141" t="s">
        <v>66</v>
      </c>
      <c r="H141">
        <v>29.507252389199</v>
      </c>
      <c r="I141">
        <f>_FIIPer100000[[#This Row],[No.Per100,000Adults]]-H140</f>
        <v>-0.79564397344439897</v>
      </c>
      <c r="J141" t="s">
        <v>67</v>
      </c>
      <c r="K141" t="s">
        <v>68</v>
      </c>
    </row>
    <row r="142" spans="1:11" hidden="1" x14ac:dyDescent="0.25">
      <c r="A142" t="s">
        <v>5</v>
      </c>
      <c r="B142" t="s">
        <v>6</v>
      </c>
      <c r="C142" t="s">
        <v>43</v>
      </c>
      <c r="D142" t="s">
        <v>44</v>
      </c>
      <c r="E142">
        <v>2021</v>
      </c>
      <c r="F142" t="s">
        <v>65</v>
      </c>
      <c r="G142" t="s">
        <v>66</v>
      </c>
      <c r="H142">
        <v>28.207392159900301</v>
      </c>
      <c r="I142">
        <f>_FIIPer100000[[#This Row],[No.Per100,000Adults]]-H141</f>
        <v>-1.299860229298698</v>
      </c>
      <c r="J142" t="s">
        <v>67</v>
      </c>
      <c r="K142" t="s">
        <v>68</v>
      </c>
    </row>
    <row r="143" spans="1:11" hidden="1" x14ac:dyDescent="0.25">
      <c r="A143" t="s">
        <v>5</v>
      </c>
      <c r="B143" t="s">
        <v>6</v>
      </c>
      <c r="C143" t="s">
        <v>43</v>
      </c>
      <c r="D143" t="s">
        <v>44</v>
      </c>
      <c r="E143">
        <v>2022</v>
      </c>
      <c r="F143" t="s">
        <v>65</v>
      </c>
      <c r="G143" t="s">
        <v>66</v>
      </c>
      <c r="H143">
        <v>27.1108281847964</v>
      </c>
      <c r="I143">
        <f>_FIIPer100000[[#This Row],[No.Per100,000Adults]]-H142</f>
        <v>-1.0965639751039014</v>
      </c>
      <c r="J143" t="s">
        <v>67</v>
      </c>
      <c r="K143" t="s">
        <v>68</v>
      </c>
    </row>
    <row r="144" spans="1:11" hidden="1" x14ac:dyDescent="0.25">
      <c r="A144" t="s">
        <v>5</v>
      </c>
      <c r="B144" t="s">
        <v>6</v>
      </c>
      <c r="C144" t="s">
        <v>43</v>
      </c>
      <c r="D144" t="s">
        <v>44</v>
      </c>
      <c r="E144">
        <v>2023</v>
      </c>
      <c r="F144" t="s">
        <v>65</v>
      </c>
      <c r="G144" t="s">
        <v>66</v>
      </c>
      <c r="H144">
        <v>26.4579183877002</v>
      </c>
      <c r="I144">
        <f>_FIIPer100000[[#This Row],[No.Per100,000Adults]]-H143</f>
        <v>-0.6529097970961999</v>
      </c>
      <c r="J144" t="s">
        <v>67</v>
      </c>
      <c r="K144" t="s">
        <v>68</v>
      </c>
    </row>
    <row r="145" spans="1:11" hidden="1" x14ac:dyDescent="0.25">
      <c r="A145" t="s">
        <v>5</v>
      </c>
      <c r="B145" t="s">
        <v>6</v>
      </c>
      <c r="C145" t="s">
        <v>43</v>
      </c>
      <c r="D145" t="s">
        <v>44</v>
      </c>
      <c r="E145">
        <v>2024</v>
      </c>
      <c r="F145" t="s">
        <v>65</v>
      </c>
      <c r="G145" t="s">
        <v>66</v>
      </c>
      <c r="H145">
        <v>25.729387669308601</v>
      </c>
      <c r="I145">
        <f>_FIIPer100000[[#This Row],[No.Per100,000Adults]]-H144</f>
        <v>-0.72853071839159966</v>
      </c>
      <c r="J145" t="s">
        <v>67</v>
      </c>
      <c r="K145" t="s">
        <v>68</v>
      </c>
    </row>
    <row r="146" spans="1:11" hidden="1" x14ac:dyDescent="0.25">
      <c r="A146" t="s">
        <v>5</v>
      </c>
      <c r="B146" t="s">
        <v>6</v>
      </c>
      <c r="C146" t="s">
        <v>9</v>
      </c>
      <c r="D146" t="s">
        <v>10</v>
      </c>
      <c r="E146">
        <v>2019</v>
      </c>
      <c r="F146" t="s">
        <v>57</v>
      </c>
      <c r="G146" t="s">
        <v>61</v>
      </c>
      <c r="H146">
        <v>72.738287465930398</v>
      </c>
      <c r="J146" t="s">
        <v>67</v>
      </c>
      <c r="K146" t="s">
        <v>68</v>
      </c>
    </row>
    <row r="147" spans="1:11" hidden="1" x14ac:dyDescent="0.25">
      <c r="A147" t="s">
        <v>5</v>
      </c>
      <c r="B147" t="s">
        <v>6</v>
      </c>
      <c r="C147" t="s">
        <v>9</v>
      </c>
      <c r="D147" t="s">
        <v>10</v>
      </c>
      <c r="E147">
        <v>2020</v>
      </c>
      <c r="F147" t="s">
        <v>57</v>
      </c>
      <c r="G147" t="s">
        <v>61</v>
      </c>
      <c r="H147">
        <v>74.781305427662303</v>
      </c>
      <c r="I147">
        <f>_FIIPer100000[[#This Row],[No.Per100,000Adults]]-H146</f>
        <v>2.0430179617319055</v>
      </c>
      <c r="J147" t="s">
        <v>67</v>
      </c>
      <c r="K147" t="s">
        <v>68</v>
      </c>
    </row>
    <row r="148" spans="1:11" hidden="1" x14ac:dyDescent="0.25">
      <c r="A148" t="s">
        <v>5</v>
      </c>
      <c r="B148" t="s">
        <v>6</v>
      </c>
      <c r="C148" t="s">
        <v>9</v>
      </c>
      <c r="D148" t="s">
        <v>10</v>
      </c>
      <c r="E148">
        <v>2021</v>
      </c>
      <c r="F148" t="s">
        <v>57</v>
      </c>
      <c r="G148" t="s">
        <v>61</v>
      </c>
      <c r="H148">
        <v>75.797225000457104</v>
      </c>
      <c r="I148">
        <f>_FIIPer100000[[#This Row],[No.Per100,000Adults]]-H147</f>
        <v>1.0159195727948003</v>
      </c>
      <c r="J148" t="s">
        <v>67</v>
      </c>
      <c r="K148" t="s">
        <v>68</v>
      </c>
    </row>
    <row r="149" spans="1:11" hidden="1" x14ac:dyDescent="0.25">
      <c r="A149" t="s">
        <v>5</v>
      </c>
      <c r="B149" t="s">
        <v>6</v>
      </c>
      <c r="C149" t="s">
        <v>9</v>
      </c>
      <c r="D149" t="s">
        <v>10</v>
      </c>
      <c r="E149">
        <v>2022</v>
      </c>
      <c r="F149" t="s">
        <v>57</v>
      </c>
      <c r="G149" t="s">
        <v>61</v>
      </c>
      <c r="H149">
        <v>75.316583948328002</v>
      </c>
      <c r="I149">
        <f>_FIIPer100000[[#This Row],[No.Per100,000Adults]]-H148</f>
        <v>-0.48064105212910135</v>
      </c>
      <c r="J149" t="s">
        <v>67</v>
      </c>
      <c r="K149" t="s">
        <v>68</v>
      </c>
    </row>
    <row r="150" spans="1:11" hidden="1" x14ac:dyDescent="0.25">
      <c r="A150" t="s">
        <v>5</v>
      </c>
      <c r="B150" t="s">
        <v>6</v>
      </c>
      <c r="C150" t="s">
        <v>9</v>
      </c>
      <c r="D150" t="s">
        <v>10</v>
      </c>
      <c r="E150">
        <v>2023</v>
      </c>
      <c r="F150" t="s">
        <v>57</v>
      </c>
      <c r="G150" t="s">
        <v>61</v>
      </c>
      <c r="H150">
        <v>75.872491316883796</v>
      </c>
      <c r="I150">
        <f>_FIIPer100000[[#This Row],[No.Per100,000Adults]]-H149</f>
        <v>0.55590736855579337</v>
      </c>
      <c r="J150" t="s">
        <v>67</v>
      </c>
      <c r="K150" t="s">
        <v>68</v>
      </c>
    </row>
    <row r="151" spans="1:11" hidden="1" x14ac:dyDescent="0.25">
      <c r="A151" t="s">
        <v>5</v>
      </c>
      <c r="B151" t="s">
        <v>6</v>
      </c>
      <c r="C151" t="s">
        <v>9</v>
      </c>
      <c r="D151" t="s">
        <v>10</v>
      </c>
      <c r="E151">
        <v>2024</v>
      </c>
      <c r="F151" t="s">
        <v>57</v>
      </c>
      <c r="G151" t="s">
        <v>61</v>
      </c>
      <c r="H151">
        <v>74.310542980306906</v>
      </c>
      <c r="I151">
        <f>_FIIPer100000[[#This Row],[No.Per100,000Adults]]-H150</f>
        <v>-1.56194833657689</v>
      </c>
      <c r="J151" t="s">
        <v>67</v>
      </c>
      <c r="K151" t="s">
        <v>68</v>
      </c>
    </row>
    <row r="152" spans="1:11" hidden="1" x14ac:dyDescent="0.25">
      <c r="A152" t="s">
        <v>5</v>
      </c>
      <c r="B152" t="s">
        <v>6</v>
      </c>
      <c r="C152" t="s">
        <v>11</v>
      </c>
      <c r="D152" t="s">
        <v>12</v>
      </c>
      <c r="E152">
        <v>2019</v>
      </c>
      <c r="F152" t="s">
        <v>57</v>
      </c>
      <c r="G152" t="s">
        <v>61</v>
      </c>
      <c r="H152">
        <v>135.67200199232701</v>
      </c>
      <c r="J152" t="s">
        <v>67</v>
      </c>
      <c r="K152" t="s">
        <v>68</v>
      </c>
    </row>
    <row r="153" spans="1:11" hidden="1" x14ac:dyDescent="0.25">
      <c r="A153" t="s">
        <v>5</v>
      </c>
      <c r="B153" t="s">
        <v>6</v>
      </c>
      <c r="C153" t="s">
        <v>11</v>
      </c>
      <c r="D153" t="s">
        <v>12</v>
      </c>
      <c r="E153">
        <v>2020</v>
      </c>
      <c r="F153" t="s">
        <v>57</v>
      </c>
      <c r="G153" t="s">
        <v>61</v>
      </c>
      <c r="H153">
        <v>128.71477386326501</v>
      </c>
      <c r="I153">
        <f>_FIIPer100000[[#This Row],[No.Per100,000Adults]]-H152</f>
        <v>-6.9572281290620026</v>
      </c>
      <c r="J153" t="s">
        <v>67</v>
      </c>
      <c r="K153" t="s">
        <v>68</v>
      </c>
    </row>
    <row r="154" spans="1:11" hidden="1" x14ac:dyDescent="0.25">
      <c r="A154" t="s">
        <v>5</v>
      </c>
      <c r="B154" t="s">
        <v>6</v>
      </c>
      <c r="C154" t="s">
        <v>11</v>
      </c>
      <c r="D154" t="s">
        <v>12</v>
      </c>
      <c r="E154">
        <v>2021</v>
      </c>
      <c r="F154" t="s">
        <v>57</v>
      </c>
      <c r="G154" t="s">
        <v>61</v>
      </c>
      <c r="H154">
        <v>122.477267993797</v>
      </c>
      <c r="I154">
        <f>_FIIPer100000[[#This Row],[No.Per100,000Adults]]-H153</f>
        <v>-6.2375058694680092</v>
      </c>
      <c r="J154" t="s">
        <v>67</v>
      </c>
      <c r="K154" t="s">
        <v>68</v>
      </c>
    </row>
    <row r="155" spans="1:11" hidden="1" x14ac:dyDescent="0.25">
      <c r="A155" t="s">
        <v>5</v>
      </c>
      <c r="B155" t="s">
        <v>6</v>
      </c>
      <c r="C155" t="s">
        <v>11</v>
      </c>
      <c r="D155" t="s">
        <v>12</v>
      </c>
      <c r="E155">
        <v>2022</v>
      </c>
      <c r="F155" t="s">
        <v>57</v>
      </c>
      <c r="G155" t="s">
        <v>61</v>
      </c>
      <c r="H155">
        <v>117.65103007296599</v>
      </c>
      <c r="I155">
        <f>_FIIPer100000[[#This Row],[No.Per100,000Adults]]-H154</f>
        <v>-4.8262379208310051</v>
      </c>
      <c r="J155" t="s">
        <v>67</v>
      </c>
      <c r="K155" t="s">
        <v>68</v>
      </c>
    </row>
    <row r="156" spans="1:11" hidden="1" x14ac:dyDescent="0.25">
      <c r="A156" t="s">
        <v>5</v>
      </c>
      <c r="B156" t="s">
        <v>6</v>
      </c>
      <c r="C156" t="s">
        <v>11</v>
      </c>
      <c r="D156" t="s">
        <v>12</v>
      </c>
      <c r="E156">
        <v>2023</v>
      </c>
      <c r="F156" t="s">
        <v>57</v>
      </c>
      <c r="G156" t="s">
        <v>61</v>
      </c>
      <c r="H156">
        <v>111.437590692375</v>
      </c>
      <c r="I156">
        <f>_FIIPer100000[[#This Row],[No.Per100,000Adults]]-H155</f>
        <v>-6.213439380590998</v>
      </c>
      <c r="J156" t="s">
        <v>67</v>
      </c>
      <c r="K156" t="s">
        <v>68</v>
      </c>
    </row>
    <row r="157" spans="1:11" hidden="1" x14ac:dyDescent="0.25">
      <c r="A157" t="s">
        <v>5</v>
      </c>
      <c r="B157" t="s">
        <v>6</v>
      </c>
      <c r="C157" t="s">
        <v>11</v>
      </c>
      <c r="D157" t="s">
        <v>12</v>
      </c>
      <c r="E157">
        <v>2024</v>
      </c>
      <c r="F157" t="s">
        <v>57</v>
      </c>
      <c r="G157" t="s">
        <v>61</v>
      </c>
      <c r="H157">
        <v>105.221393543223</v>
      </c>
      <c r="I157">
        <f>_FIIPer100000[[#This Row],[No.Per100,000Adults]]-H156</f>
        <v>-6.2161971491519949</v>
      </c>
      <c r="J157" t="s">
        <v>67</v>
      </c>
      <c r="K157" t="s">
        <v>68</v>
      </c>
    </row>
    <row r="158" spans="1:11" hidden="1" x14ac:dyDescent="0.25">
      <c r="A158" t="s">
        <v>45</v>
      </c>
      <c r="B158" t="s">
        <v>46</v>
      </c>
      <c r="C158" t="s">
        <v>47</v>
      </c>
      <c r="D158" t="s">
        <v>48</v>
      </c>
      <c r="E158">
        <v>2019</v>
      </c>
      <c r="F158" t="s">
        <v>57</v>
      </c>
      <c r="G158" t="s">
        <v>61</v>
      </c>
      <c r="H158">
        <v>43.441072817360201</v>
      </c>
      <c r="J158" t="s">
        <v>67</v>
      </c>
      <c r="K158" t="s">
        <v>68</v>
      </c>
    </row>
    <row r="159" spans="1:11" hidden="1" x14ac:dyDescent="0.25">
      <c r="A159" t="s">
        <v>45</v>
      </c>
      <c r="B159" t="s">
        <v>46</v>
      </c>
      <c r="C159" t="s">
        <v>47</v>
      </c>
      <c r="D159" t="s">
        <v>48</v>
      </c>
      <c r="E159">
        <v>2020</v>
      </c>
      <c r="F159" t="s">
        <v>57</v>
      </c>
      <c r="G159" t="s">
        <v>61</v>
      </c>
      <c r="H159">
        <v>42.821468394788504</v>
      </c>
      <c r="I159">
        <f>_FIIPer100000[[#This Row],[No.Per100,000Adults]]-H158</f>
        <v>-0.61960442257169746</v>
      </c>
      <c r="J159" t="s">
        <v>67</v>
      </c>
      <c r="K159" t="s">
        <v>68</v>
      </c>
    </row>
    <row r="160" spans="1:11" hidden="1" x14ac:dyDescent="0.25">
      <c r="A160" t="s">
        <v>45</v>
      </c>
      <c r="B160" t="s">
        <v>46</v>
      </c>
      <c r="C160" t="s">
        <v>47</v>
      </c>
      <c r="D160" t="s">
        <v>48</v>
      </c>
      <c r="E160">
        <v>2021</v>
      </c>
      <c r="F160" t="s">
        <v>57</v>
      </c>
      <c r="G160" t="s">
        <v>61</v>
      </c>
      <c r="H160">
        <v>37.968761839499997</v>
      </c>
      <c r="I160">
        <f>_FIIPer100000[[#This Row],[No.Per100,000Adults]]-H159</f>
        <v>-4.8527065552885063</v>
      </c>
      <c r="J160" t="s">
        <v>67</v>
      </c>
      <c r="K160" t="s">
        <v>68</v>
      </c>
    </row>
    <row r="161" spans="1:11" hidden="1" x14ac:dyDescent="0.25">
      <c r="A161" t="s">
        <v>45</v>
      </c>
      <c r="B161" t="s">
        <v>46</v>
      </c>
      <c r="C161" t="s">
        <v>47</v>
      </c>
      <c r="D161" t="s">
        <v>48</v>
      </c>
      <c r="E161">
        <v>2022</v>
      </c>
      <c r="F161" t="s">
        <v>57</v>
      </c>
      <c r="G161" t="s">
        <v>61</v>
      </c>
      <c r="H161">
        <v>38.580090565952098</v>
      </c>
      <c r="I161">
        <f>_FIIPer100000[[#This Row],[No.Per100,000Adults]]-H160</f>
        <v>0.61132872645210057</v>
      </c>
      <c r="J161" t="s">
        <v>67</v>
      </c>
      <c r="K161" t="s">
        <v>68</v>
      </c>
    </row>
    <row r="162" spans="1:11" hidden="1" x14ac:dyDescent="0.25">
      <c r="A162" t="s">
        <v>45</v>
      </c>
      <c r="B162" t="s">
        <v>46</v>
      </c>
      <c r="C162" t="s">
        <v>47</v>
      </c>
      <c r="D162" t="s">
        <v>48</v>
      </c>
      <c r="E162">
        <v>2023</v>
      </c>
      <c r="F162" t="s">
        <v>57</v>
      </c>
      <c r="G162" t="s">
        <v>61</v>
      </c>
      <c r="H162">
        <v>36.319631543600003</v>
      </c>
      <c r="I162">
        <f>_FIIPer100000[[#This Row],[No.Per100,000Adults]]-H161</f>
        <v>-2.2604590223520944</v>
      </c>
      <c r="J162" t="s">
        <v>67</v>
      </c>
      <c r="K162" t="s">
        <v>68</v>
      </c>
    </row>
    <row r="163" spans="1:11" hidden="1" x14ac:dyDescent="0.25">
      <c r="A163" t="s">
        <v>45</v>
      </c>
      <c r="B163" t="s">
        <v>46</v>
      </c>
      <c r="C163" t="s">
        <v>47</v>
      </c>
      <c r="D163" t="s">
        <v>48</v>
      </c>
      <c r="E163">
        <v>2024</v>
      </c>
      <c r="F163" t="s">
        <v>57</v>
      </c>
      <c r="G163" t="s">
        <v>61</v>
      </c>
      <c r="H163">
        <v>33.608968173701001</v>
      </c>
      <c r="I163">
        <f>_FIIPer100000[[#This Row],[No.Per100,000Adults]]-H162</f>
        <v>-2.7106633698990024</v>
      </c>
      <c r="J163" t="s">
        <v>67</v>
      </c>
      <c r="K163" t="s">
        <v>68</v>
      </c>
    </row>
    <row r="164" spans="1:11" hidden="1" x14ac:dyDescent="0.25">
      <c r="A164" t="s">
        <v>5</v>
      </c>
      <c r="B164" t="s">
        <v>6</v>
      </c>
      <c r="C164" t="s">
        <v>13</v>
      </c>
      <c r="D164" t="s">
        <v>14</v>
      </c>
      <c r="E164">
        <v>2019</v>
      </c>
      <c r="F164" t="s">
        <v>57</v>
      </c>
      <c r="G164" t="s">
        <v>61</v>
      </c>
      <c r="H164">
        <v>117.68518502235101</v>
      </c>
      <c r="J164" t="s">
        <v>67</v>
      </c>
      <c r="K164" t="s">
        <v>68</v>
      </c>
    </row>
    <row r="165" spans="1:11" hidden="1" x14ac:dyDescent="0.25">
      <c r="A165" t="s">
        <v>5</v>
      </c>
      <c r="B165" t="s">
        <v>6</v>
      </c>
      <c r="C165" t="s">
        <v>13</v>
      </c>
      <c r="D165" t="s">
        <v>14</v>
      </c>
      <c r="E165">
        <v>2020</v>
      </c>
      <c r="F165" t="s">
        <v>57</v>
      </c>
      <c r="G165" t="s">
        <v>61</v>
      </c>
      <c r="H165">
        <v>116.055214455003</v>
      </c>
      <c r="I165">
        <f>_FIIPer100000[[#This Row],[No.Per100,000Adults]]-H164</f>
        <v>-1.6299705673480105</v>
      </c>
      <c r="J165" t="s">
        <v>67</v>
      </c>
      <c r="K165" t="s">
        <v>68</v>
      </c>
    </row>
    <row r="166" spans="1:11" hidden="1" x14ac:dyDescent="0.25">
      <c r="A166" t="s">
        <v>5</v>
      </c>
      <c r="B166" t="s">
        <v>6</v>
      </c>
      <c r="C166" t="s">
        <v>13</v>
      </c>
      <c r="D166" t="s">
        <v>14</v>
      </c>
      <c r="E166">
        <v>2021</v>
      </c>
      <c r="F166" t="s">
        <v>57</v>
      </c>
      <c r="G166" t="s">
        <v>61</v>
      </c>
      <c r="H166">
        <v>111.94089676182701</v>
      </c>
      <c r="I166">
        <f>_FIIPer100000[[#This Row],[No.Per100,000Adults]]-H165</f>
        <v>-4.1143176931759911</v>
      </c>
      <c r="J166" t="s">
        <v>67</v>
      </c>
      <c r="K166" t="s">
        <v>68</v>
      </c>
    </row>
    <row r="167" spans="1:11" hidden="1" x14ac:dyDescent="0.25">
      <c r="A167" t="s">
        <v>5</v>
      </c>
      <c r="B167" t="s">
        <v>6</v>
      </c>
      <c r="C167" t="s">
        <v>13</v>
      </c>
      <c r="D167" t="s">
        <v>14</v>
      </c>
      <c r="E167">
        <v>2022</v>
      </c>
      <c r="F167" t="s">
        <v>57</v>
      </c>
      <c r="G167" t="s">
        <v>61</v>
      </c>
      <c r="H167">
        <v>113.45416551344201</v>
      </c>
      <c r="I167">
        <f>_FIIPer100000[[#This Row],[No.Per100,000Adults]]-H166</f>
        <v>1.5132687516150014</v>
      </c>
      <c r="J167" t="s">
        <v>67</v>
      </c>
      <c r="K167" t="s">
        <v>68</v>
      </c>
    </row>
    <row r="168" spans="1:11" hidden="1" x14ac:dyDescent="0.25">
      <c r="A168" t="s">
        <v>5</v>
      </c>
      <c r="B168" t="s">
        <v>6</v>
      </c>
      <c r="C168" t="s">
        <v>13</v>
      </c>
      <c r="D168" t="s">
        <v>14</v>
      </c>
      <c r="E168">
        <v>2023</v>
      </c>
      <c r="F168" t="s">
        <v>57</v>
      </c>
      <c r="G168" t="s">
        <v>61</v>
      </c>
      <c r="H168">
        <v>100.66501424259801</v>
      </c>
      <c r="I168">
        <f>_FIIPer100000[[#This Row],[No.Per100,000Adults]]-H167</f>
        <v>-12.789151270844002</v>
      </c>
      <c r="J168" t="s">
        <v>67</v>
      </c>
      <c r="K168" t="s">
        <v>68</v>
      </c>
    </row>
    <row r="169" spans="1:11" hidden="1" x14ac:dyDescent="0.25">
      <c r="A169" t="s">
        <v>5</v>
      </c>
      <c r="B169" t="s">
        <v>6</v>
      </c>
      <c r="C169" t="s">
        <v>13</v>
      </c>
      <c r="D169" t="s">
        <v>14</v>
      </c>
      <c r="E169">
        <v>2024</v>
      </c>
      <c r="F169" t="s">
        <v>57</v>
      </c>
      <c r="G169" t="s">
        <v>61</v>
      </c>
      <c r="H169">
        <v>89.903189473198594</v>
      </c>
      <c r="I169">
        <f>_FIIPer100000[[#This Row],[No.Per100,000Adults]]-H168</f>
        <v>-10.761824769399411</v>
      </c>
      <c r="J169" t="s">
        <v>67</v>
      </c>
      <c r="K169" t="s">
        <v>68</v>
      </c>
    </row>
    <row r="170" spans="1:11" hidden="1" x14ac:dyDescent="0.25">
      <c r="A170" t="s">
        <v>5</v>
      </c>
      <c r="B170" t="s">
        <v>6</v>
      </c>
      <c r="C170" t="s">
        <v>15</v>
      </c>
      <c r="D170" t="s">
        <v>16</v>
      </c>
      <c r="E170">
        <v>2019</v>
      </c>
      <c r="F170" t="s">
        <v>57</v>
      </c>
      <c r="G170" t="s">
        <v>61</v>
      </c>
      <c r="H170">
        <v>214.32802122144801</v>
      </c>
      <c r="J170" t="s">
        <v>67</v>
      </c>
      <c r="K170" t="s">
        <v>68</v>
      </c>
    </row>
    <row r="171" spans="1:11" hidden="1" x14ac:dyDescent="0.25">
      <c r="A171" t="s">
        <v>5</v>
      </c>
      <c r="B171" t="s">
        <v>6</v>
      </c>
      <c r="C171" t="s">
        <v>15</v>
      </c>
      <c r="D171" t="s">
        <v>16</v>
      </c>
      <c r="E171">
        <v>2020</v>
      </c>
      <c r="F171" t="s">
        <v>57</v>
      </c>
      <c r="G171" t="s">
        <v>61</v>
      </c>
      <c r="H171">
        <v>210.35540639182801</v>
      </c>
      <c r="I171">
        <f>_FIIPer100000[[#This Row],[No.Per100,000Adults]]-H170</f>
        <v>-3.9726148296199995</v>
      </c>
      <c r="J171" t="s">
        <v>67</v>
      </c>
      <c r="K171" t="s">
        <v>68</v>
      </c>
    </row>
    <row r="172" spans="1:11" hidden="1" x14ac:dyDescent="0.25">
      <c r="A172" t="s">
        <v>5</v>
      </c>
      <c r="B172" t="s">
        <v>6</v>
      </c>
      <c r="C172" t="s">
        <v>15</v>
      </c>
      <c r="D172" t="s">
        <v>16</v>
      </c>
      <c r="E172">
        <v>2021</v>
      </c>
      <c r="F172" t="s">
        <v>57</v>
      </c>
      <c r="G172" t="s">
        <v>61</v>
      </c>
      <c r="H172">
        <v>212.45368675986299</v>
      </c>
      <c r="I172">
        <f>_FIIPer100000[[#This Row],[No.Per100,000Adults]]-H171</f>
        <v>2.0982803680349775</v>
      </c>
      <c r="J172" t="s">
        <v>67</v>
      </c>
      <c r="K172" t="s">
        <v>68</v>
      </c>
    </row>
    <row r="173" spans="1:11" hidden="1" x14ac:dyDescent="0.25">
      <c r="A173" t="s">
        <v>5</v>
      </c>
      <c r="B173" t="s">
        <v>6</v>
      </c>
      <c r="C173" t="s">
        <v>15</v>
      </c>
      <c r="D173" t="s">
        <v>16</v>
      </c>
      <c r="E173">
        <v>2022</v>
      </c>
      <c r="F173" t="s">
        <v>57</v>
      </c>
      <c r="G173" t="s">
        <v>61</v>
      </c>
      <c r="H173">
        <v>205.96850357877301</v>
      </c>
      <c r="I173">
        <f>_FIIPer100000[[#This Row],[No.Per100,000Adults]]-H172</f>
        <v>-6.4851831810899796</v>
      </c>
      <c r="J173" t="s">
        <v>67</v>
      </c>
      <c r="K173" t="s">
        <v>68</v>
      </c>
    </row>
    <row r="174" spans="1:11" hidden="1" x14ac:dyDescent="0.25">
      <c r="A174" t="s">
        <v>5</v>
      </c>
      <c r="B174" t="s">
        <v>6</v>
      </c>
      <c r="C174" t="s">
        <v>15</v>
      </c>
      <c r="D174" t="s">
        <v>16</v>
      </c>
      <c r="E174">
        <v>2023</v>
      </c>
      <c r="F174" t="s">
        <v>57</v>
      </c>
      <c r="G174" t="s">
        <v>61</v>
      </c>
      <c r="H174">
        <v>188.37141293110901</v>
      </c>
      <c r="I174">
        <f>_FIIPer100000[[#This Row],[No.Per100,000Adults]]-H173</f>
        <v>-17.597090647664004</v>
      </c>
      <c r="J174" t="s">
        <v>67</v>
      </c>
      <c r="K174" t="s">
        <v>68</v>
      </c>
    </row>
    <row r="175" spans="1:11" hidden="1" x14ac:dyDescent="0.25">
      <c r="A175" t="s">
        <v>5</v>
      </c>
      <c r="B175" t="s">
        <v>6</v>
      </c>
      <c r="C175" t="s">
        <v>15</v>
      </c>
      <c r="D175" t="s">
        <v>16</v>
      </c>
      <c r="E175">
        <v>2024</v>
      </c>
      <c r="F175" t="s">
        <v>57</v>
      </c>
      <c r="G175" t="s">
        <v>61</v>
      </c>
      <c r="H175">
        <v>173.81495071633799</v>
      </c>
      <c r="I175">
        <f>_FIIPer100000[[#This Row],[No.Per100,000Adults]]-H174</f>
        <v>-14.556462214771017</v>
      </c>
      <c r="J175" t="s">
        <v>67</v>
      </c>
      <c r="K175" t="s">
        <v>68</v>
      </c>
    </row>
    <row r="176" spans="1:11" hidden="1" x14ac:dyDescent="0.25">
      <c r="A176" t="s">
        <v>5</v>
      </c>
      <c r="B176" t="s">
        <v>6</v>
      </c>
      <c r="C176" t="s">
        <v>17</v>
      </c>
      <c r="D176" t="s">
        <v>18</v>
      </c>
      <c r="E176">
        <v>2019</v>
      </c>
      <c r="F176" t="s">
        <v>57</v>
      </c>
      <c r="G176" t="s">
        <v>61</v>
      </c>
      <c r="H176">
        <v>95.321971063219394</v>
      </c>
      <c r="J176" t="s">
        <v>67</v>
      </c>
      <c r="K176" t="s">
        <v>68</v>
      </c>
    </row>
    <row r="177" spans="1:11" hidden="1" x14ac:dyDescent="0.25">
      <c r="A177" t="s">
        <v>5</v>
      </c>
      <c r="B177" t="s">
        <v>6</v>
      </c>
      <c r="C177" t="s">
        <v>17</v>
      </c>
      <c r="D177" t="s">
        <v>18</v>
      </c>
      <c r="E177">
        <v>2020</v>
      </c>
      <c r="F177" t="s">
        <v>57</v>
      </c>
      <c r="G177" t="s">
        <v>61</v>
      </c>
      <c r="H177">
        <v>87.575849893607796</v>
      </c>
      <c r="I177">
        <f>_FIIPer100000[[#This Row],[No.Per100,000Adults]]-H176</f>
        <v>-7.7461211696115981</v>
      </c>
      <c r="J177" t="s">
        <v>67</v>
      </c>
      <c r="K177" t="s">
        <v>68</v>
      </c>
    </row>
    <row r="178" spans="1:11" hidden="1" x14ac:dyDescent="0.25">
      <c r="A178" t="s">
        <v>5</v>
      </c>
      <c r="B178" t="s">
        <v>6</v>
      </c>
      <c r="C178" t="s">
        <v>17</v>
      </c>
      <c r="D178" t="s">
        <v>18</v>
      </c>
      <c r="E178">
        <v>2021</v>
      </c>
      <c r="F178" t="s">
        <v>57</v>
      </c>
      <c r="G178" t="s">
        <v>61</v>
      </c>
      <c r="H178">
        <v>81.423251635406302</v>
      </c>
      <c r="I178">
        <f>_FIIPer100000[[#This Row],[No.Per100,000Adults]]-H177</f>
        <v>-6.1525982582014933</v>
      </c>
      <c r="J178" t="s">
        <v>67</v>
      </c>
      <c r="K178" t="s">
        <v>68</v>
      </c>
    </row>
    <row r="179" spans="1:11" hidden="1" x14ac:dyDescent="0.25">
      <c r="A179" t="s">
        <v>5</v>
      </c>
      <c r="B179" t="s">
        <v>6</v>
      </c>
      <c r="C179" t="s">
        <v>17</v>
      </c>
      <c r="D179" t="s">
        <v>18</v>
      </c>
      <c r="E179">
        <v>2022</v>
      </c>
      <c r="F179" t="s">
        <v>57</v>
      </c>
      <c r="G179" t="s">
        <v>61</v>
      </c>
      <c r="H179">
        <v>76.555986760188901</v>
      </c>
      <c r="I179">
        <f>_FIIPer100000[[#This Row],[No.Per100,000Adults]]-H178</f>
        <v>-4.8672648752174013</v>
      </c>
      <c r="J179" t="s">
        <v>67</v>
      </c>
      <c r="K179" t="s">
        <v>68</v>
      </c>
    </row>
    <row r="180" spans="1:11" hidden="1" x14ac:dyDescent="0.25">
      <c r="A180" t="s">
        <v>5</v>
      </c>
      <c r="B180" t="s">
        <v>6</v>
      </c>
      <c r="C180" t="s">
        <v>17</v>
      </c>
      <c r="D180" t="s">
        <v>18</v>
      </c>
      <c r="E180">
        <v>2023</v>
      </c>
      <c r="F180" t="s">
        <v>57</v>
      </c>
      <c r="G180" t="s">
        <v>61</v>
      </c>
      <c r="H180">
        <v>71.854791933949997</v>
      </c>
      <c r="I180">
        <f>_FIIPer100000[[#This Row],[No.Per100,000Adults]]-H179</f>
        <v>-4.7011948262389041</v>
      </c>
      <c r="J180" t="s">
        <v>67</v>
      </c>
      <c r="K180" t="s">
        <v>68</v>
      </c>
    </row>
    <row r="181" spans="1:11" hidden="1" x14ac:dyDescent="0.25">
      <c r="A181" t="s">
        <v>5</v>
      </c>
      <c r="B181" t="s">
        <v>6</v>
      </c>
      <c r="C181" t="s">
        <v>17</v>
      </c>
      <c r="D181" t="s">
        <v>18</v>
      </c>
      <c r="E181">
        <v>2024</v>
      </c>
      <c r="F181" t="s">
        <v>57</v>
      </c>
      <c r="G181" t="s">
        <v>61</v>
      </c>
      <c r="H181">
        <v>67.828327026507196</v>
      </c>
      <c r="I181">
        <f>_FIIPer100000[[#This Row],[No.Per100,000Adults]]-H180</f>
        <v>-4.0264649074428007</v>
      </c>
      <c r="J181" t="s">
        <v>67</v>
      </c>
      <c r="K181" t="s">
        <v>68</v>
      </c>
    </row>
    <row r="182" spans="1:11" hidden="1" x14ac:dyDescent="0.25">
      <c r="A182" t="s">
        <v>5</v>
      </c>
      <c r="B182" t="s">
        <v>6</v>
      </c>
      <c r="C182" t="s">
        <v>19</v>
      </c>
      <c r="D182" t="s">
        <v>20</v>
      </c>
      <c r="E182">
        <v>2019</v>
      </c>
      <c r="F182" t="s">
        <v>57</v>
      </c>
      <c r="G182" t="s">
        <v>61</v>
      </c>
      <c r="H182">
        <v>95.826627871052196</v>
      </c>
      <c r="J182" t="s">
        <v>67</v>
      </c>
      <c r="K182" t="s">
        <v>68</v>
      </c>
    </row>
    <row r="183" spans="1:11" hidden="1" x14ac:dyDescent="0.25">
      <c r="A183" t="s">
        <v>5</v>
      </c>
      <c r="B183" t="s">
        <v>6</v>
      </c>
      <c r="C183" t="s">
        <v>19</v>
      </c>
      <c r="D183" t="s">
        <v>20</v>
      </c>
      <c r="E183">
        <v>2020</v>
      </c>
      <c r="F183" t="s">
        <v>57</v>
      </c>
      <c r="G183" t="s">
        <v>61</v>
      </c>
      <c r="H183">
        <v>92.990674701634305</v>
      </c>
      <c r="I183">
        <f>_FIIPer100000[[#This Row],[No.Per100,000Adults]]-H182</f>
        <v>-2.8359531694178912</v>
      </c>
      <c r="J183" t="s">
        <v>67</v>
      </c>
      <c r="K183" t="s">
        <v>68</v>
      </c>
    </row>
    <row r="184" spans="1:11" hidden="1" x14ac:dyDescent="0.25">
      <c r="A184" t="s">
        <v>5</v>
      </c>
      <c r="B184" t="s">
        <v>6</v>
      </c>
      <c r="C184" t="s">
        <v>19</v>
      </c>
      <c r="D184" t="s">
        <v>20</v>
      </c>
      <c r="E184">
        <v>2021</v>
      </c>
      <c r="F184" t="s">
        <v>57</v>
      </c>
      <c r="G184" t="s">
        <v>61</v>
      </c>
      <c r="H184">
        <v>89.034863293091902</v>
      </c>
      <c r="I184">
        <f>_FIIPer100000[[#This Row],[No.Per100,000Adults]]-H183</f>
        <v>-3.9558114085424023</v>
      </c>
      <c r="J184" t="s">
        <v>67</v>
      </c>
      <c r="K184" t="s">
        <v>68</v>
      </c>
    </row>
    <row r="185" spans="1:11" hidden="1" x14ac:dyDescent="0.25">
      <c r="A185" t="s">
        <v>5</v>
      </c>
      <c r="B185" t="s">
        <v>6</v>
      </c>
      <c r="C185" t="s">
        <v>19</v>
      </c>
      <c r="D185" t="s">
        <v>20</v>
      </c>
      <c r="E185">
        <v>2022</v>
      </c>
      <c r="F185" t="s">
        <v>57</v>
      </c>
      <c r="G185" t="s">
        <v>61</v>
      </c>
      <c r="H185">
        <v>84.288693734198006</v>
      </c>
      <c r="I185">
        <f>_FIIPer100000[[#This Row],[No.Per100,000Adults]]-H184</f>
        <v>-4.7461695588938966</v>
      </c>
      <c r="J185" t="s">
        <v>67</v>
      </c>
      <c r="K185" t="s">
        <v>68</v>
      </c>
    </row>
    <row r="186" spans="1:11" hidden="1" x14ac:dyDescent="0.25">
      <c r="A186" t="s">
        <v>5</v>
      </c>
      <c r="B186" t="s">
        <v>6</v>
      </c>
      <c r="C186" t="s">
        <v>19</v>
      </c>
      <c r="D186" t="s">
        <v>20</v>
      </c>
      <c r="E186">
        <v>2023</v>
      </c>
      <c r="F186" t="s">
        <v>57</v>
      </c>
      <c r="G186" t="s">
        <v>61</v>
      </c>
      <c r="H186">
        <v>77.646364355885893</v>
      </c>
      <c r="I186">
        <f>_FIIPer100000[[#This Row],[No.Per100,000Adults]]-H185</f>
        <v>-6.6423293783121125</v>
      </c>
      <c r="J186" t="s">
        <v>67</v>
      </c>
      <c r="K186" t="s">
        <v>68</v>
      </c>
    </row>
    <row r="187" spans="1:11" hidden="1" x14ac:dyDescent="0.25">
      <c r="A187" t="s">
        <v>5</v>
      </c>
      <c r="B187" t="s">
        <v>6</v>
      </c>
      <c r="C187" t="s">
        <v>19</v>
      </c>
      <c r="D187" t="s">
        <v>20</v>
      </c>
      <c r="E187">
        <v>2024</v>
      </c>
      <c r="F187" t="s">
        <v>57</v>
      </c>
      <c r="G187" t="s">
        <v>61</v>
      </c>
      <c r="J187" t="s">
        <v>67</v>
      </c>
      <c r="K187" t="s">
        <v>68</v>
      </c>
    </row>
    <row r="188" spans="1:11" hidden="1" x14ac:dyDescent="0.25">
      <c r="A188" t="s">
        <v>5</v>
      </c>
      <c r="B188" t="s">
        <v>6</v>
      </c>
      <c r="C188" t="s">
        <v>21</v>
      </c>
      <c r="D188" t="s">
        <v>22</v>
      </c>
      <c r="E188">
        <v>2019</v>
      </c>
      <c r="F188" t="s">
        <v>57</v>
      </c>
      <c r="G188" t="s">
        <v>61</v>
      </c>
      <c r="H188">
        <v>81.354547926086198</v>
      </c>
      <c r="J188" t="s">
        <v>67</v>
      </c>
      <c r="K188" t="s">
        <v>68</v>
      </c>
    </row>
    <row r="189" spans="1:11" hidden="1" x14ac:dyDescent="0.25">
      <c r="A189" t="s">
        <v>5</v>
      </c>
      <c r="B189" t="s">
        <v>6</v>
      </c>
      <c r="C189" t="s">
        <v>21</v>
      </c>
      <c r="D189" t="s">
        <v>22</v>
      </c>
      <c r="E189">
        <v>2020</v>
      </c>
      <c r="F189" t="s">
        <v>57</v>
      </c>
      <c r="G189" t="s">
        <v>61</v>
      </c>
      <c r="H189">
        <v>79.425241300132598</v>
      </c>
      <c r="I189">
        <f>_FIIPer100000[[#This Row],[No.Per100,000Adults]]-H188</f>
        <v>-1.9293066259536005</v>
      </c>
      <c r="J189" t="s">
        <v>67</v>
      </c>
      <c r="K189" t="s">
        <v>68</v>
      </c>
    </row>
    <row r="190" spans="1:11" hidden="1" x14ac:dyDescent="0.25">
      <c r="A190" t="s">
        <v>5</v>
      </c>
      <c r="B190" t="s">
        <v>6</v>
      </c>
      <c r="C190" t="s">
        <v>21</v>
      </c>
      <c r="D190" t="s">
        <v>22</v>
      </c>
      <c r="E190">
        <v>2021</v>
      </c>
      <c r="F190" t="s">
        <v>57</v>
      </c>
      <c r="G190" t="s">
        <v>61</v>
      </c>
      <c r="H190">
        <v>76.988022603209004</v>
      </c>
      <c r="I190">
        <f>_FIIPer100000[[#This Row],[No.Per100,000Adults]]-H189</f>
        <v>-2.4372186969235941</v>
      </c>
      <c r="J190" t="s">
        <v>67</v>
      </c>
      <c r="K190" t="s">
        <v>68</v>
      </c>
    </row>
    <row r="191" spans="1:11" hidden="1" x14ac:dyDescent="0.25">
      <c r="A191" t="s">
        <v>5</v>
      </c>
      <c r="B191" t="s">
        <v>6</v>
      </c>
      <c r="C191" t="s">
        <v>21</v>
      </c>
      <c r="D191" t="s">
        <v>22</v>
      </c>
      <c r="E191">
        <v>2022</v>
      </c>
      <c r="F191" t="s">
        <v>57</v>
      </c>
      <c r="G191" t="s">
        <v>61</v>
      </c>
      <c r="H191">
        <v>72.986297894104297</v>
      </c>
      <c r="I191">
        <f>_FIIPer100000[[#This Row],[No.Per100,000Adults]]-H190</f>
        <v>-4.0017247091047068</v>
      </c>
      <c r="J191" t="s">
        <v>67</v>
      </c>
      <c r="K191" t="s">
        <v>68</v>
      </c>
    </row>
    <row r="192" spans="1:11" hidden="1" x14ac:dyDescent="0.25">
      <c r="A192" t="s">
        <v>5</v>
      </c>
      <c r="B192" t="s">
        <v>6</v>
      </c>
      <c r="C192" t="s">
        <v>21</v>
      </c>
      <c r="D192" t="s">
        <v>22</v>
      </c>
      <c r="E192">
        <v>2023</v>
      </c>
      <c r="F192" t="s">
        <v>57</v>
      </c>
      <c r="G192" t="s">
        <v>61</v>
      </c>
      <c r="H192">
        <v>70.921341663868006</v>
      </c>
      <c r="I192">
        <f>_FIIPer100000[[#This Row],[No.Per100,000Adults]]-H191</f>
        <v>-2.0649562302362909</v>
      </c>
      <c r="J192" t="s">
        <v>67</v>
      </c>
      <c r="K192" t="s">
        <v>68</v>
      </c>
    </row>
    <row r="193" spans="1:11" hidden="1" x14ac:dyDescent="0.25">
      <c r="A193" t="s">
        <v>5</v>
      </c>
      <c r="B193" t="s">
        <v>6</v>
      </c>
      <c r="C193" t="s">
        <v>21</v>
      </c>
      <c r="D193" t="s">
        <v>22</v>
      </c>
      <c r="E193">
        <v>2024</v>
      </c>
      <c r="F193" t="s">
        <v>57</v>
      </c>
      <c r="G193" t="s">
        <v>61</v>
      </c>
      <c r="J193" t="s">
        <v>67</v>
      </c>
      <c r="K193" t="s">
        <v>68</v>
      </c>
    </row>
    <row r="194" spans="1:11" hidden="1" x14ac:dyDescent="0.25">
      <c r="A194" t="s">
        <v>5</v>
      </c>
      <c r="B194" t="s">
        <v>6</v>
      </c>
      <c r="C194" t="s">
        <v>23</v>
      </c>
      <c r="D194" t="s">
        <v>24</v>
      </c>
      <c r="E194">
        <v>2019</v>
      </c>
      <c r="F194" t="s">
        <v>57</v>
      </c>
      <c r="G194" t="s">
        <v>61</v>
      </c>
      <c r="H194">
        <v>20.6722044853976</v>
      </c>
      <c r="J194" t="s">
        <v>67</v>
      </c>
      <c r="K194" t="s">
        <v>68</v>
      </c>
    </row>
    <row r="195" spans="1:11" hidden="1" x14ac:dyDescent="0.25">
      <c r="A195" t="s">
        <v>5</v>
      </c>
      <c r="B195" t="s">
        <v>6</v>
      </c>
      <c r="C195" t="s">
        <v>23</v>
      </c>
      <c r="D195" t="s">
        <v>24</v>
      </c>
      <c r="E195">
        <v>2020</v>
      </c>
      <c r="F195" t="s">
        <v>57</v>
      </c>
      <c r="G195" t="s">
        <v>61</v>
      </c>
      <c r="H195">
        <v>21.2030322929363</v>
      </c>
      <c r="I195">
        <f>_FIIPer100000[[#This Row],[No.Per100,000Adults]]-H194</f>
        <v>0.5308278075386994</v>
      </c>
      <c r="J195" t="s">
        <v>67</v>
      </c>
      <c r="K195" t="s">
        <v>68</v>
      </c>
    </row>
    <row r="196" spans="1:11" hidden="1" x14ac:dyDescent="0.25">
      <c r="A196" t="s">
        <v>5</v>
      </c>
      <c r="B196" t="s">
        <v>6</v>
      </c>
      <c r="C196" t="s">
        <v>23</v>
      </c>
      <c r="D196" t="s">
        <v>24</v>
      </c>
      <c r="E196">
        <v>2021</v>
      </c>
      <c r="F196" t="s">
        <v>57</v>
      </c>
      <c r="G196" t="s">
        <v>61</v>
      </c>
      <c r="H196">
        <v>21.168540946450499</v>
      </c>
      <c r="I196">
        <f>_FIIPer100000[[#This Row],[No.Per100,000Adults]]-H195</f>
        <v>-3.4491346485800989E-2</v>
      </c>
      <c r="J196" t="s">
        <v>67</v>
      </c>
      <c r="K196" t="s">
        <v>68</v>
      </c>
    </row>
    <row r="197" spans="1:11" hidden="1" x14ac:dyDescent="0.25">
      <c r="A197" t="s">
        <v>5</v>
      </c>
      <c r="B197" t="s">
        <v>6</v>
      </c>
      <c r="C197" t="s">
        <v>23</v>
      </c>
      <c r="D197" t="s">
        <v>24</v>
      </c>
      <c r="E197">
        <v>2022</v>
      </c>
      <c r="F197" t="s">
        <v>57</v>
      </c>
      <c r="G197" t="s">
        <v>61</v>
      </c>
      <c r="H197">
        <v>24.561639423228701</v>
      </c>
      <c r="I197">
        <f>_FIIPer100000[[#This Row],[No.Per100,000Adults]]-H196</f>
        <v>3.3930984767782029</v>
      </c>
      <c r="J197" t="s">
        <v>67</v>
      </c>
      <c r="K197" t="s">
        <v>68</v>
      </c>
    </row>
    <row r="198" spans="1:11" hidden="1" x14ac:dyDescent="0.25">
      <c r="A198" t="s">
        <v>5</v>
      </c>
      <c r="B198" t="s">
        <v>6</v>
      </c>
      <c r="C198" t="s">
        <v>23</v>
      </c>
      <c r="D198" t="s">
        <v>24</v>
      </c>
      <c r="E198">
        <v>2023</v>
      </c>
      <c r="F198" t="s">
        <v>57</v>
      </c>
      <c r="G198" t="s">
        <v>61</v>
      </c>
      <c r="H198">
        <v>24.8476526043798</v>
      </c>
      <c r="I198">
        <f>_FIIPer100000[[#This Row],[No.Per100,000Adults]]-H197</f>
        <v>0.28601318115109819</v>
      </c>
      <c r="J198" t="s">
        <v>67</v>
      </c>
      <c r="K198" t="s">
        <v>68</v>
      </c>
    </row>
    <row r="199" spans="1:11" hidden="1" x14ac:dyDescent="0.25">
      <c r="A199" t="s">
        <v>5</v>
      </c>
      <c r="B199" t="s">
        <v>6</v>
      </c>
      <c r="C199" t="s">
        <v>23</v>
      </c>
      <c r="D199" t="s">
        <v>24</v>
      </c>
      <c r="E199">
        <v>2024</v>
      </c>
      <c r="F199" t="s">
        <v>57</v>
      </c>
      <c r="G199" t="s">
        <v>61</v>
      </c>
      <c r="H199">
        <v>24.4668640479183</v>
      </c>
      <c r="I199">
        <f>_FIIPer100000[[#This Row],[No.Per100,000Adults]]-H198</f>
        <v>-0.38078855646149989</v>
      </c>
      <c r="J199" t="s">
        <v>67</v>
      </c>
      <c r="K199" t="s">
        <v>68</v>
      </c>
    </row>
    <row r="200" spans="1:11" hidden="1" x14ac:dyDescent="0.25">
      <c r="A200" t="s">
        <v>5</v>
      </c>
      <c r="B200" t="s">
        <v>6</v>
      </c>
      <c r="C200" t="s">
        <v>25</v>
      </c>
      <c r="D200" t="s">
        <v>26</v>
      </c>
      <c r="E200">
        <v>2019</v>
      </c>
      <c r="F200" t="s">
        <v>57</v>
      </c>
      <c r="G200" t="s">
        <v>61</v>
      </c>
      <c r="H200">
        <v>52.956036137041302</v>
      </c>
      <c r="J200" t="s">
        <v>67</v>
      </c>
      <c r="K200" t="s">
        <v>68</v>
      </c>
    </row>
    <row r="201" spans="1:11" hidden="1" x14ac:dyDescent="0.25">
      <c r="A201" t="s">
        <v>5</v>
      </c>
      <c r="B201" t="s">
        <v>6</v>
      </c>
      <c r="C201" t="s">
        <v>25</v>
      </c>
      <c r="D201" t="s">
        <v>26</v>
      </c>
      <c r="E201">
        <v>2020</v>
      </c>
      <c r="F201" t="s">
        <v>57</v>
      </c>
      <c r="G201" t="s">
        <v>61</v>
      </c>
      <c r="H201">
        <v>51.346781721452402</v>
      </c>
      <c r="I201">
        <f>_FIIPer100000[[#This Row],[No.Per100,000Adults]]-H200</f>
        <v>-1.6092544155889001</v>
      </c>
      <c r="J201" t="s">
        <v>67</v>
      </c>
      <c r="K201" t="s">
        <v>68</v>
      </c>
    </row>
    <row r="202" spans="1:11" hidden="1" x14ac:dyDescent="0.25">
      <c r="A202" t="s">
        <v>5</v>
      </c>
      <c r="B202" t="s">
        <v>6</v>
      </c>
      <c r="C202" t="s">
        <v>25</v>
      </c>
      <c r="D202" t="s">
        <v>26</v>
      </c>
      <c r="E202">
        <v>2021</v>
      </c>
      <c r="F202" t="s">
        <v>57</v>
      </c>
      <c r="G202" t="s">
        <v>61</v>
      </c>
      <c r="H202">
        <v>47.992309345668197</v>
      </c>
      <c r="I202">
        <f>_FIIPer100000[[#This Row],[No.Per100,000Adults]]-H201</f>
        <v>-3.354472375784205</v>
      </c>
      <c r="J202" t="s">
        <v>67</v>
      </c>
      <c r="K202" t="s">
        <v>68</v>
      </c>
    </row>
    <row r="203" spans="1:11" hidden="1" x14ac:dyDescent="0.25">
      <c r="A203" t="s">
        <v>5</v>
      </c>
      <c r="B203" t="s">
        <v>6</v>
      </c>
      <c r="C203" t="s">
        <v>25</v>
      </c>
      <c r="D203" t="s">
        <v>26</v>
      </c>
      <c r="E203">
        <v>2022</v>
      </c>
      <c r="F203" t="s">
        <v>57</v>
      </c>
      <c r="G203" t="s">
        <v>61</v>
      </c>
      <c r="H203">
        <v>47.315034379170598</v>
      </c>
      <c r="I203">
        <f>_FIIPer100000[[#This Row],[No.Per100,000Adults]]-H202</f>
        <v>-0.677274966497599</v>
      </c>
      <c r="J203" t="s">
        <v>67</v>
      </c>
      <c r="K203" t="s">
        <v>68</v>
      </c>
    </row>
    <row r="204" spans="1:11" hidden="1" x14ac:dyDescent="0.25">
      <c r="A204" t="s">
        <v>5</v>
      </c>
      <c r="B204" t="s">
        <v>6</v>
      </c>
      <c r="C204" t="s">
        <v>25</v>
      </c>
      <c r="D204" t="s">
        <v>26</v>
      </c>
      <c r="E204">
        <v>2023</v>
      </c>
      <c r="F204" t="s">
        <v>57</v>
      </c>
      <c r="G204" t="s">
        <v>61</v>
      </c>
      <c r="H204">
        <v>45.475964676589797</v>
      </c>
      <c r="I204">
        <f>_FIIPer100000[[#This Row],[No.Per100,000Adults]]-H203</f>
        <v>-1.8390697025808009</v>
      </c>
      <c r="J204" t="s">
        <v>67</v>
      </c>
      <c r="K204" t="s">
        <v>68</v>
      </c>
    </row>
    <row r="205" spans="1:11" hidden="1" x14ac:dyDescent="0.25">
      <c r="A205" t="s">
        <v>5</v>
      </c>
      <c r="B205" t="s">
        <v>6</v>
      </c>
      <c r="C205" t="s">
        <v>25</v>
      </c>
      <c r="D205" t="s">
        <v>26</v>
      </c>
      <c r="E205">
        <v>2024</v>
      </c>
      <c r="F205" t="s">
        <v>57</v>
      </c>
      <c r="G205" t="s">
        <v>61</v>
      </c>
      <c r="H205">
        <v>45.637050788116703</v>
      </c>
      <c r="I205">
        <f>_FIIPer100000[[#This Row],[No.Per100,000Adults]]-H204</f>
        <v>0.161086111526906</v>
      </c>
      <c r="J205" t="s">
        <v>67</v>
      </c>
      <c r="K205" t="s">
        <v>68</v>
      </c>
    </row>
    <row r="206" spans="1:11" hidden="1" x14ac:dyDescent="0.25">
      <c r="A206" t="s">
        <v>5</v>
      </c>
      <c r="B206" t="s">
        <v>6</v>
      </c>
      <c r="C206" t="s">
        <v>27</v>
      </c>
      <c r="D206" t="s">
        <v>28</v>
      </c>
      <c r="E206">
        <v>2019</v>
      </c>
      <c r="F206" t="s">
        <v>57</v>
      </c>
      <c r="G206" t="s">
        <v>61</v>
      </c>
      <c r="H206">
        <v>90.875793175703393</v>
      </c>
      <c r="J206" t="s">
        <v>67</v>
      </c>
      <c r="K206" t="s">
        <v>68</v>
      </c>
    </row>
    <row r="207" spans="1:11" hidden="1" x14ac:dyDescent="0.25">
      <c r="A207" t="s">
        <v>5</v>
      </c>
      <c r="B207" t="s">
        <v>6</v>
      </c>
      <c r="C207" t="s">
        <v>27</v>
      </c>
      <c r="D207" t="s">
        <v>28</v>
      </c>
      <c r="E207">
        <v>2020</v>
      </c>
      <c r="F207" t="s">
        <v>57</v>
      </c>
      <c r="G207" t="s">
        <v>61</v>
      </c>
      <c r="H207">
        <v>90.315127364072794</v>
      </c>
      <c r="I207">
        <f>_FIIPer100000[[#This Row],[No.Per100,000Adults]]-H206</f>
        <v>-0.56066581163059936</v>
      </c>
      <c r="J207" t="s">
        <v>67</v>
      </c>
      <c r="K207" t="s">
        <v>68</v>
      </c>
    </row>
    <row r="208" spans="1:11" hidden="1" x14ac:dyDescent="0.25">
      <c r="A208" t="s">
        <v>5</v>
      </c>
      <c r="B208" t="s">
        <v>6</v>
      </c>
      <c r="C208" t="s">
        <v>27</v>
      </c>
      <c r="D208" t="s">
        <v>28</v>
      </c>
      <c r="E208">
        <v>2021</v>
      </c>
      <c r="F208" t="s">
        <v>57</v>
      </c>
      <c r="G208" t="s">
        <v>61</v>
      </c>
      <c r="H208">
        <v>88.193780233941695</v>
      </c>
      <c r="I208">
        <f>_FIIPer100000[[#This Row],[No.Per100,000Adults]]-H207</f>
        <v>-2.1213471301310989</v>
      </c>
      <c r="J208" t="s">
        <v>67</v>
      </c>
      <c r="K208" t="s">
        <v>68</v>
      </c>
    </row>
    <row r="209" spans="1:11" hidden="1" x14ac:dyDescent="0.25">
      <c r="A209" t="s">
        <v>5</v>
      </c>
      <c r="B209" t="s">
        <v>6</v>
      </c>
      <c r="C209" t="s">
        <v>27</v>
      </c>
      <c r="D209" t="s">
        <v>28</v>
      </c>
      <c r="E209">
        <v>2022</v>
      </c>
      <c r="F209" t="s">
        <v>57</v>
      </c>
      <c r="G209" t="s">
        <v>61</v>
      </c>
      <c r="H209">
        <v>90.325318918005493</v>
      </c>
      <c r="I209">
        <f>_FIIPer100000[[#This Row],[No.Per100,000Adults]]-H208</f>
        <v>2.1315386840637984</v>
      </c>
      <c r="J209" t="s">
        <v>67</v>
      </c>
      <c r="K209" t="s">
        <v>68</v>
      </c>
    </row>
    <row r="210" spans="1:11" hidden="1" x14ac:dyDescent="0.25">
      <c r="A210" t="s">
        <v>5</v>
      </c>
      <c r="B210" t="s">
        <v>6</v>
      </c>
      <c r="C210" t="s">
        <v>27</v>
      </c>
      <c r="D210" t="s">
        <v>28</v>
      </c>
      <c r="E210">
        <v>2023</v>
      </c>
      <c r="F210" t="s">
        <v>57</v>
      </c>
      <c r="G210" t="s">
        <v>61</v>
      </c>
      <c r="H210">
        <v>88.409874832362306</v>
      </c>
      <c r="I210">
        <f>_FIIPer100000[[#This Row],[No.Per100,000Adults]]-H209</f>
        <v>-1.9154440856431876</v>
      </c>
      <c r="J210" t="s">
        <v>67</v>
      </c>
      <c r="K210" t="s">
        <v>68</v>
      </c>
    </row>
    <row r="211" spans="1:11" hidden="1" x14ac:dyDescent="0.25">
      <c r="A211" t="s">
        <v>5</v>
      </c>
      <c r="B211" t="s">
        <v>6</v>
      </c>
      <c r="C211" t="s">
        <v>27</v>
      </c>
      <c r="D211" t="s">
        <v>28</v>
      </c>
      <c r="E211">
        <v>2024</v>
      </c>
      <c r="F211" t="s">
        <v>57</v>
      </c>
      <c r="G211" t="s">
        <v>61</v>
      </c>
      <c r="H211">
        <v>85.718589194666606</v>
      </c>
      <c r="I211">
        <f>_FIIPer100000[[#This Row],[No.Per100,000Adults]]-H210</f>
        <v>-2.6912856376956995</v>
      </c>
      <c r="J211" t="s">
        <v>67</v>
      </c>
      <c r="K211" t="s">
        <v>68</v>
      </c>
    </row>
    <row r="212" spans="1:11" hidden="1" x14ac:dyDescent="0.25">
      <c r="A212" t="s">
        <v>5</v>
      </c>
      <c r="B212" t="s">
        <v>6</v>
      </c>
      <c r="C212" t="s">
        <v>29</v>
      </c>
      <c r="D212" t="s">
        <v>30</v>
      </c>
      <c r="E212">
        <v>2019</v>
      </c>
      <c r="F212" t="s">
        <v>57</v>
      </c>
      <c r="G212" t="s">
        <v>61</v>
      </c>
      <c r="H212">
        <v>123.463525170515</v>
      </c>
      <c r="J212" t="s">
        <v>67</v>
      </c>
      <c r="K212" t="s">
        <v>68</v>
      </c>
    </row>
    <row r="213" spans="1:11" hidden="1" x14ac:dyDescent="0.25">
      <c r="A213" t="s">
        <v>5</v>
      </c>
      <c r="B213" t="s">
        <v>6</v>
      </c>
      <c r="C213" t="s">
        <v>29</v>
      </c>
      <c r="D213" t="s">
        <v>30</v>
      </c>
      <c r="E213">
        <v>2020</v>
      </c>
      <c r="F213" t="s">
        <v>57</v>
      </c>
      <c r="G213" t="s">
        <v>61</v>
      </c>
      <c r="H213">
        <v>120.980644468343</v>
      </c>
      <c r="I213">
        <f>_FIIPer100000[[#This Row],[No.Per100,000Adults]]-H212</f>
        <v>-2.4828807021719967</v>
      </c>
      <c r="J213" t="s">
        <v>67</v>
      </c>
      <c r="K213" t="s">
        <v>68</v>
      </c>
    </row>
    <row r="214" spans="1:11" hidden="1" x14ac:dyDescent="0.25">
      <c r="A214" t="s">
        <v>5</v>
      </c>
      <c r="B214" t="s">
        <v>6</v>
      </c>
      <c r="C214" t="s">
        <v>29</v>
      </c>
      <c r="D214" t="s">
        <v>30</v>
      </c>
      <c r="E214">
        <v>2021</v>
      </c>
      <c r="F214" t="s">
        <v>57</v>
      </c>
      <c r="G214" t="s">
        <v>61</v>
      </c>
      <c r="H214">
        <v>116.60846586617301</v>
      </c>
      <c r="I214">
        <f>_FIIPer100000[[#This Row],[No.Per100,000Adults]]-H213</f>
        <v>-4.3721786021699955</v>
      </c>
      <c r="J214" t="s">
        <v>67</v>
      </c>
      <c r="K214" t="s">
        <v>68</v>
      </c>
    </row>
    <row r="215" spans="1:11" hidden="1" x14ac:dyDescent="0.25">
      <c r="A215" t="s">
        <v>5</v>
      </c>
      <c r="B215" t="s">
        <v>6</v>
      </c>
      <c r="C215" t="s">
        <v>29</v>
      </c>
      <c r="D215" t="s">
        <v>30</v>
      </c>
      <c r="E215">
        <v>2022</v>
      </c>
      <c r="F215" t="s">
        <v>57</v>
      </c>
      <c r="G215" t="s">
        <v>61</v>
      </c>
      <c r="H215">
        <v>113.069146743042</v>
      </c>
      <c r="I215">
        <f>_FIIPer100000[[#This Row],[No.Per100,000Adults]]-H214</f>
        <v>-3.5393191231310084</v>
      </c>
      <c r="J215" t="s">
        <v>67</v>
      </c>
      <c r="K215" t="s">
        <v>68</v>
      </c>
    </row>
    <row r="216" spans="1:11" hidden="1" x14ac:dyDescent="0.25">
      <c r="A216" t="s">
        <v>5</v>
      </c>
      <c r="B216" t="s">
        <v>6</v>
      </c>
      <c r="C216" t="s">
        <v>29</v>
      </c>
      <c r="D216" t="s">
        <v>30</v>
      </c>
      <c r="E216">
        <v>2023</v>
      </c>
      <c r="F216" t="s">
        <v>57</v>
      </c>
      <c r="G216" t="s">
        <v>61</v>
      </c>
      <c r="H216">
        <v>109.829582665584</v>
      </c>
      <c r="I216">
        <f>_FIIPer100000[[#This Row],[No.Per100,000Adults]]-H215</f>
        <v>-3.2395640774579988</v>
      </c>
      <c r="J216" t="s">
        <v>67</v>
      </c>
      <c r="K216" t="s">
        <v>68</v>
      </c>
    </row>
    <row r="217" spans="1:11" hidden="1" x14ac:dyDescent="0.25">
      <c r="A217" t="s">
        <v>5</v>
      </c>
      <c r="B217" t="s">
        <v>6</v>
      </c>
      <c r="C217" t="s">
        <v>29</v>
      </c>
      <c r="D217" t="s">
        <v>30</v>
      </c>
      <c r="E217">
        <v>2024</v>
      </c>
      <c r="F217" t="s">
        <v>57</v>
      </c>
      <c r="G217" t="s">
        <v>61</v>
      </c>
      <c r="H217">
        <v>107.03894109574</v>
      </c>
      <c r="I217">
        <f>_FIIPer100000[[#This Row],[No.Per100,000Adults]]-H216</f>
        <v>-2.7906415698439986</v>
      </c>
      <c r="J217" t="s">
        <v>67</v>
      </c>
      <c r="K217" t="s">
        <v>68</v>
      </c>
    </row>
    <row r="218" spans="1:11" hidden="1" x14ac:dyDescent="0.25">
      <c r="A218" t="s">
        <v>45</v>
      </c>
      <c r="B218" t="s">
        <v>46</v>
      </c>
      <c r="C218" t="s">
        <v>49</v>
      </c>
      <c r="D218" t="s">
        <v>50</v>
      </c>
      <c r="E218">
        <v>2019</v>
      </c>
      <c r="F218" t="s">
        <v>57</v>
      </c>
      <c r="G218" t="s">
        <v>61</v>
      </c>
      <c r="H218">
        <v>76.009217715972696</v>
      </c>
      <c r="J218" t="s">
        <v>67</v>
      </c>
      <c r="K218" t="s">
        <v>68</v>
      </c>
    </row>
    <row r="219" spans="1:11" hidden="1" x14ac:dyDescent="0.25">
      <c r="A219" t="s">
        <v>45</v>
      </c>
      <c r="B219" t="s">
        <v>46</v>
      </c>
      <c r="C219" t="s">
        <v>49</v>
      </c>
      <c r="D219" t="s">
        <v>50</v>
      </c>
      <c r="E219">
        <v>2020</v>
      </c>
      <c r="F219" t="s">
        <v>57</v>
      </c>
      <c r="G219" t="s">
        <v>61</v>
      </c>
      <c r="H219">
        <v>61.609814054023097</v>
      </c>
      <c r="I219">
        <f>_FIIPer100000[[#This Row],[No.Per100,000Adults]]-H218</f>
        <v>-14.399403661949599</v>
      </c>
      <c r="J219" t="s">
        <v>67</v>
      </c>
      <c r="K219" t="s">
        <v>68</v>
      </c>
    </row>
    <row r="220" spans="1:11" hidden="1" x14ac:dyDescent="0.25">
      <c r="A220" t="s">
        <v>45</v>
      </c>
      <c r="B220" t="s">
        <v>46</v>
      </c>
      <c r="C220" t="s">
        <v>49</v>
      </c>
      <c r="D220" t="s">
        <v>50</v>
      </c>
      <c r="E220">
        <v>2021</v>
      </c>
      <c r="F220" t="s">
        <v>57</v>
      </c>
      <c r="G220" t="s">
        <v>61</v>
      </c>
      <c r="H220">
        <v>63.905519692197501</v>
      </c>
      <c r="I220">
        <f>_FIIPer100000[[#This Row],[No.Per100,000Adults]]-H219</f>
        <v>2.2957056381744039</v>
      </c>
      <c r="J220" t="s">
        <v>67</v>
      </c>
      <c r="K220" t="s">
        <v>68</v>
      </c>
    </row>
    <row r="221" spans="1:11" hidden="1" x14ac:dyDescent="0.25">
      <c r="A221" t="s">
        <v>45</v>
      </c>
      <c r="B221" t="s">
        <v>46</v>
      </c>
      <c r="C221" t="s">
        <v>49</v>
      </c>
      <c r="D221" t="s">
        <v>50</v>
      </c>
      <c r="E221">
        <v>2022</v>
      </c>
      <c r="F221" t="s">
        <v>57</v>
      </c>
      <c r="G221" t="s">
        <v>61</v>
      </c>
      <c r="H221">
        <v>62.545479652895501</v>
      </c>
      <c r="I221">
        <f>_FIIPer100000[[#This Row],[No.Per100,000Adults]]-H220</f>
        <v>-1.3600400393019996</v>
      </c>
      <c r="J221" t="s">
        <v>67</v>
      </c>
      <c r="K221" t="s">
        <v>68</v>
      </c>
    </row>
    <row r="222" spans="1:11" hidden="1" x14ac:dyDescent="0.25">
      <c r="A222" t="s">
        <v>45</v>
      </c>
      <c r="B222" t="s">
        <v>46</v>
      </c>
      <c r="C222" t="s">
        <v>49</v>
      </c>
      <c r="D222" t="s">
        <v>50</v>
      </c>
      <c r="E222">
        <v>2023</v>
      </c>
      <c r="F222" t="s">
        <v>57</v>
      </c>
      <c r="G222" t="s">
        <v>61</v>
      </c>
      <c r="H222">
        <v>58.801998508560501</v>
      </c>
      <c r="I222">
        <f>_FIIPer100000[[#This Row],[No.Per100,000Adults]]-H221</f>
        <v>-3.743481144335</v>
      </c>
      <c r="J222" t="s">
        <v>67</v>
      </c>
      <c r="K222" t="s">
        <v>68</v>
      </c>
    </row>
    <row r="223" spans="1:11" hidden="1" x14ac:dyDescent="0.25">
      <c r="A223" t="s">
        <v>45</v>
      </c>
      <c r="B223" t="s">
        <v>46</v>
      </c>
      <c r="C223" t="s">
        <v>49</v>
      </c>
      <c r="D223" t="s">
        <v>50</v>
      </c>
      <c r="E223">
        <v>2024</v>
      </c>
      <c r="F223" t="s">
        <v>57</v>
      </c>
      <c r="G223" t="s">
        <v>61</v>
      </c>
      <c r="H223">
        <v>58.042871089020402</v>
      </c>
      <c r="I223">
        <f>_FIIPer100000[[#This Row],[No.Per100,000Adults]]-H222</f>
        <v>-0.75912741954009988</v>
      </c>
      <c r="J223" t="s">
        <v>67</v>
      </c>
      <c r="K223" t="s">
        <v>68</v>
      </c>
    </row>
    <row r="224" spans="1:11" hidden="1" x14ac:dyDescent="0.25">
      <c r="A224" t="s">
        <v>5</v>
      </c>
      <c r="B224" t="s">
        <v>6</v>
      </c>
      <c r="C224" t="s">
        <v>33</v>
      </c>
      <c r="D224" t="s">
        <v>34</v>
      </c>
      <c r="E224">
        <v>2019</v>
      </c>
      <c r="F224" t="s">
        <v>57</v>
      </c>
      <c r="G224" t="s">
        <v>61</v>
      </c>
      <c r="H224">
        <v>62.561741259406801</v>
      </c>
      <c r="J224" t="s">
        <v>67</v>
      </c>
      <c r="K224" t="s">
        <v>68</v>
      </c>
    </row>
    <row r="225" spans="1:11" hidden="1" x14ac:dyDescent="0.25">
      <c r="A225" t="s">
        <v>5</v>
      </c>
      <c r="B225" t="s">
        <v>6</v>
      </c>
      <c r="C225" t="s">
        <v>33</v>
      </c>
      <c r="D225" t="s">
        <v>34</v>
      </c>
      <c r="E225">
        <v>2020</v>
      </c>
      <c r="F225" t="s">
        <v>57</v>
      </c>
      <c r="G225" t="s">
        <v>61</v>
      </c>
      <c r="H225">
        <v>63.307650696822002</v>
      </c>
      <c r="I225">
        <f>_FIIPer100000[[#This Row],[No.Per100,000Adults]]-H224</f>
        <v>0.74590943741520022</v>
      </c>
      <c r="J225" t="s">
        <v>67</v>
      </c>
      <c r="K225" t="s">
        <v>68</v>
      </c>
    </row>
    <row r="226" spans="1:11" hidden="1" x14ac:dyDescent="0.25">
      <c r="A226" t="s">
        <v>5</v>
      </c>
      <c r="B226" t="s">
        <v>6</v>
      </c>
      <c r="C226" t="s">
        <v>33</v>
      </c>
      <c r="D226" t="s">
        <v>34</v>
      </c>
      <c r="E226">
        <v>2021</v>
      </c>
      <c r="F226" t="s">
        <v>57</v>
      </c>
      <c r="G226" t="s">
        <v>61</v>
      </c>
      <c r="H226">
        <v>63.688171415699003</v>
      </c>
      <c r="I226">
        <f>_FIIPer100000[[#This Row],[No.Per100,000Adults]]-H225</f>
        <v>0.38052071887700123</v>
      </c>
      <c r="J226" t="s">
        <v>67</v>
      </c>
      <c r="K226" t="s">
        <v>68</v>
      </c>
    </row>
    <row r="227" spans="1:11" hidden="1" x14ac:dyDescent="0.25">
      <c r="A227" t="s">
        <v>5</v>
      </c>
      <c r="B227" t="s">
        <v>6</v>
      </c>
      <c r="C227" t="s">
        <v>33</v>
      </c>
      <c r="D227" t="s">
        <v>34</v>
      </c>
      <c r="E227">
        <v>2022</v>
      </c>
      <c r="F227" t="s">
        <v>57</v>
      </c>
      <c r="G227" t="s">
        <v>61</v>
      </c>
      <c r="H227">
        <v>66.460932939021902</v>
      </c>
      <c r="I227">
        <f>_FIIPer100000[[#This Row],[No.Per100,000Adults]]-H226</f>
        <v>2.7727615233228988</v>
      </c>
      <c r="J227" t="s">
        <v>67</v>
      </c>
      <c r="K227" t="s">
        <v>68</v>
      </c>
    </row>
    <row r="228" spans="1:11" hidden="1" x14ac:dyDescent="0.25">
      <c r="A228" t="s">
        <v>5</v>
      </c>
      <c r="B228" t="s">
        <v>6</v>
      </c>
      <c r="C228" t="s">
        <v>33</v>
      </c>
      <c r="D228" t="s">
        <v>34</v>
      </c>
      <c r="E228">
        <v>2023</v>
      </c>
      <c r="F228" t="s">
        <v>57</v>
      </c>
      <c r="G228" t="s">
        <v>61</v>
      </c>
      <c r="H228">
        <v>68.816493866621499</v>
      </c>
      <c r="I228">
        <f>_FIIPer100000[[#This Row],[No.Per100,000Adults]]-H227</f>
        <v>2.3555609275995977</v>
      </c>
      <c r="J228" t="s">
        <v>67</v>
      </c>
      <c r="K228" t="s">
        <v>68</v>
      </c>
    </row>
    <row r="229" spans="1:11" hidden="1" x14ac:dyDescent="0.25">
      <c r="A229" t="s">
        <v>5</v>
      </c>
      <c r="B229" t="s">
        <v>6</v>
      </c>
      <c r="C229" t="s">
        <v>33</v>
      </c>
      <c r="D229" t="s">
        <v>34</v>
      </c>
      <c r="E229">
        <v>2024</v>
      </c>
      <c r="F229" t="s">
        <v>57</v>
      </c>
      <c r="G229" t="s">
        <v>61</v>
      </c>
      <c r="H229">
        <v>69.974340919572498</v>
      </c>
      <c r="I229">
        <f>_FIIPer100000[[#This Row],[No.Per100,000Adults]]-H228</f>
        <v>1.1578470529509985</v>
      </c>
      <c r="J229" t="s">
        <v>67</v>
      </c>
      <c r="K229" t="s">
        <v>68</v>
      </c>
    </row>
    <row r="230" spans="1:11" hidden="1" x14ac:dyDescent="0.25">
      <c r="A230" t="s">
        <v>45</v>
      </c>
      <c r="B230" t="s">
        <v>46</v>
      </c>
      <c r="C230" t="s">
        <v>51</v>
      </c>
      <c r="D230" t="s">
        <v>52</v>
      </c>
      <c r="E230">
        <v>2019</v>
      </c>
      <c r="F230" t="s">
        <v>57</v>
      </c>
      <c r="G230" t="s">
        <v>61</v>
      </c>
      <c r="H230">
        <v>46.188913228166598</v>
      </c>
      <c r="J230" t="s">
        <v>67</v>
      </c>
      <c r="K230" t="s">
        <v>68</v>
      </c>
    </row>
    <row r="231" spans="1:11" hidden="1" x14ac:dyDescent="0.25">
      <c r="A231" t="s">
        <v>45</v>
      </c>
      <c r="B231" t="s">
        <v>46</v>
      </c>
      <c r="C231" t="s">
        <v>51</v>
      </c>
      <c r="D231" t="s">
        <v>52</v>
      </c>
      <c r="E231">
        <v>2020</v>
      </c>
      <c r="F231" t="s">
        <v>57</v>
      </c>
      <c r="G231" t="s">
        <v>61</v>
      </c>
      <c r="H231">
        <v>48.593289611253603</v>
      </c>
      <c r="I231">
        <f>_FIIPer100000[[#This Row],[No.Per100,000Adults]]-H230</f>
        <v>2.4043763830870049</v>
      </c>
      <c r="J231" t="s">
        <v>67</v>
      </c>
      <c r="K231" t="s">
        <v>68</v>
      </c>
    </row>
    <row r="232" spans="1:11" hidden="1" x14ac:dyDescent="0.25">
      <c r="A232" t="s">
        <v>45</v>
      </c>
      <c r="B232" t="s">
        <v>46</v>
      </c>
      <c r="C232" t="s">
        <v>51</v>
      </c>
      <c r="D232" t="s">
        <v>52</v>
      </c>
      <c r="E232">
        <v>2021</v>
      </c>
      <c r="F232" t="s">
        <v>57</v>
      </c>
      <c r="G232" t="s">
        <v>61</v>
      </c>
      <c r="H232">
        <v>50.540774156109997</v>
      </c>
      <c r="I232">
        <f>_FIIPer100000[[#This Row],[No.Per100,000Adults]]-H231</f>
        <v>1.947484544856394</v>
      </c>
      <c r="J232" t="s">
        <v>67</v>
      </c>
      <c r="K232" t="s">
        <v>68</v>
      </c>
    </row>
    <row r="233" spans="1:11" hidden="1" x14ac:dyDescent="0.25">
      <c r="A233" t="s">
        <v>45</v>
      </c>
      <c r="B233" t="s">
        <v>46</v>
      </c>
      <c r="C233" t="s">
        <v>51</v>
      </c>
      <c r="D233" t="s">
        <v>52</v>
      </c>
      <c r="E233">
        <v>2022</v>
      </c>
      <c r="F233" t="s">
        <v>57</v>
      </c>
      <c r="G233" t="s">
        <v>61</v>
      </c>
      <c r="H233">
        <v>51.892306986979598</v>
      </c>
      <c r="I233">
        <f>_FIIPer100000[[#This Row],[No.Per100,000Adults]]-H232</f>
        <v>1.3515328308696013</v>
      </c>
      <c r="J233" t="s">
        <v>67</v>
      </c>
      <c r="K233" t="s">
        <v>68</v>
      </c>
    </row>
    <row r="234" spans="1:11" hidden="1" x14ac:dyDescent="0.25">
      <c r="A234" t="s">
        <v>45</v>
      </c>
      <c r="B234" t="s">
        <v>46</v>
      </c>
      <c r="C234" t="s">
        <v>51</v>
      </c>
      <c r="D234" t="s">
        <v>52</v>
      </c>
      <c r="E234">
        <v>2023</v>
      </c>
      <c r="F234" t="s">
        <v>57</v>
      </c>
      <c r="G234" t="s">
        <v>61</v>
      </c>
      <c r="J234" t="s">
        <v>67</v>
      </c>
      <c r="K234" t="s">
        <v>68</v>
      </c>
    </row>
    <row r="235" spans="1:11" hidden="1" x14ac:dyDescent="0.25">
      <c r="A235" t="s">
        <v>45</v>
      </c>
      <c r="B235" t="s">
        <v>46</v>
      </c>
      <c r="C235" t="s">
        <v>51</v>
      </c>
      <c r="D235" t="s">
        <v>52</v>
      </c>
      <c r="E235">
        <v>2024</v>
      </c>
      <c r="F235" t="s">
        <v>57</v>
      </c>
      <c r="G235" t="s">
        <v>61</v>
      </c>
      <c r="J235" t="s">
        <v>67</v>
      </c>
      <c r="K235" t="s">
        <v>68</v>
      </c>
    </row>
    <row r="236" spans="1:11" hidden="1" x14ac:dyDescent="0.25">
      <c r="A236" t="s">
        <v>45</v>
      </c>
      <c r="B236" t="s">
        <v>46</v>
      </c>
      <c r="C236" t="s">
        <v>53</v>
      </c>
      <c r="D236" t="s">
        <v>54</v>
      </c>
      <c r="E236">
        <v>2019</v>
      </c>
      <c r="F236" t="s">
        <v>57</v>
      </c>
      <c r="G236" t="s">
        <v>61</v>
      </c>
      <c r="H236">
        <v>59.523202295058503</v>
      </c>
      <c r="J236" t="s">
        <v>67</v>
      </c>
      <c r="K236" t="s">
        <v>68</v>
      </c>
    </row>
    <row r="237" spans="1:11" hidden="1" x14ac:dyDescent="0.25">
      <c r="A237" t="s">
        <v>45</v>
      </c>
      <c r="B237" t="s">
        <v>46</v>
      </c>
      <c r="C237" t="s">
        <v>53</v>
      </c>
      <c r="D237" t="s">
        <v>54</v>
      </c>
      <c r="E237">
        <v>2020</v>
      </c>
      <c r="F237" t="s">
        <v>57</v>
      </c>
      <c r="G237" t="s">
        <v>61</v>
      </c>
      <c r="H237">
        <v>56.4737534529364</v>
      </c>
      <c r="I237">
        <f>_FIIPer100000[[#This Row],[No.Per100,000Adults]]-H236</f>
        <v>-3.0494488421221035</v>
      </c>
      <c r="J237" t="s">
        <v>67</v>
      </c>
      <c r="K237" t="s">
        <v>68</v>
      </c>
    </row>
    <row r="238" spans="1:11" hidden="1" x14ac:dyDescent="0.25">
      <c r="A238" t="s">
        <v>45</v>
      </c>
      <c r="B238" t="s">
        <v>46</v>
      </c>
      <c r="C238" t="s">
        <v>53</v>
      </c>
      <c r="D238" t="s">
        <v>54</v>
      </c>
      <c r="E238">
        <v>2021</v>
      </c>
      <c r="F238" t="s">
        <v>57</v>
      </c>
      <c r="G238" t="s">
        <v>61</v>
      </c>
      <c r="H238">
        <v>62.678054597974104</v>
      </c>
      <c r="I238">
        <f>_FIIPer100000[[#This Row],[No.Per100,000Adults]]-H237</f>
        <v>6.2043011450377037</v>
      </c>
      <c r="J238" t="s">
        <v>67</v>
      </c>
      <c r="K238" t="s">
        <v>68</v>
      </c>
    </row>
    <row r="239" spans="1:11" hidden="1" x14ac:dyDescent="0.25">
      <c r="A239" t="s">
        <v>45</v>
      </c>
      <c r="B239" t="s">
        <v>46</v>
      </c>
      <c r="C239" t="s">
        <v>53</v>
      </c>
      <c r="D239" t="s">
        <v>54</v>
      </c>
      <c r="E239">
        <v>2022</v>
      </c>
      <c r="F239" t="s">
        <v>57</v>
      </c>
      <c r="G239" t="s">
        <v>61</v>
      </c>
      <c r="H239">
        <v>61.230597360201898</v>
      </c>
      <c r="I239">
        <f>_FIIPer100000[[#This Row],[No.Per100,000Adults]]-H238</f>
        <v>-1.4474572377722055</v>
      </c>
      <c r="J239" t="s">
        <v>67</v>
      </c>
      <c r="K239" t="s">
        <v>68</v>
      </c>
    </row>
    <row r="240" spans="1:11" hidden="1" x14ac:dyDescent="0.25">
      <c r="A240" t="s">
        <v>45</v>
      </c>
      <c r="B240" t="s">
        <v>46</v>
      </c>
      <c r="C240" t="s">
        <v>53</v>
      </c>
      <c r="D240" t="s">
        <v>54</v>
      </c>
      <c r="E240">
        <v>2023</v>
      </c>
      <c r="F240" t="s">
        <v>57</v>
      </c>
      <c r="G240" t="s">
        <v>61</v>
      </c>
      <c r="H240">
        <v>63.416352987225302</v>
      </c>
      <c r="I240">
        <f>_FIIPer100000[[#This Row],[No.Per100,000Adults]]-H239</f>
        <v>2.1857556270234042</v>
      </c>
      <c r="J240" t="s">
        <v>67</v>
      </c>
      <c r="K240" t="s">
        <v>68</v>
      </c>
    </row>
    <row r="241" spans="1:11" hidden="1" x14ac:dyDescent="0.25">
      <c r="A241" t="s">
        <v>45</v>
      </c>
      <c r="B241" t="s">
        <v>46</v>
      </c>
      <c r="C241" t="s">
        <v>53</v>
      </c>
      <c r="D241" t="s">
        <v>54</v>
      </c>
      <c r="E241">
        <v>2024</v>
      </c>
      <c r="F241" t="s">
        <v>57</v>
      </c>
      <c r="G241" t="s">
        <v>61</v>
      </c>
      <c r="J241" t="s">
        <v>67</v>
      </c>
      <c r="K241" t="s">
        <v>68</v>
      </c>
    </row>
    <row r="242" spans="1:11" hidden="1" x14ac:dyDescent="0.25">
      <c r="A242" t="s">
        <v>5</v>
      </c>
      <c r="B242" t="s">
        <v>6</v>
      </c>
      <c r="C242" t="s">
        <v>31</v>
      </c>
      <c r="D242" t="s">
        <v>32</v>
      </c>
      <c r="E242">
        <v>2019</v>
      </c>
      <c r="F242" t="s">
        <v>57</v>
      </c>
      <c r="G242" t="s">
        <v>61</v>
      </c>
      <c r="H242">
        <v>263.322520065682</v>
      </c>
      <c r="J242" t="s">
        <v>67</v>
      </c>
      <c r="K242" t="s">
        <v>68</v>
      </c>
    </row>
    <row r="243" spans="1:11" hidden="1" x14ac:dyDescent="0.25">
      <c r="A243" t="s">
        <v>5</v>
      </c>
      <c r="B243" t="s">
        <v>6</v>
      </c>
      <c r="C243" t="s">
        <v>31</v>
      </c>
      <c r="D243" t="s">
        <v>32</v>
      </c>
      <c r="E243">
        <v>2020</v>
      </c>
      <c r="F243" t="s">
        <v>57</v>
      </c>
      <c r="G243" t="s">
        <v>61</v>
      </c>
      <c r="H243">
        <v>258.19172588842201</v>
      </c>
      <c r="I243">
        <f>_FIIPer100000[[#This Row],[No.Per100,000Adults]]-H242</f>
        <v>-5.1307941772599861</v>
      </c>
      <c r="J243" t="s">
        <v>67</v>
      </c>
      <c r="K243" t="s">
        <v>68</v>
      </c>
    </row>
    <row r="244" spans="1:11" hidden="1" x14ac:dyDescent="0.25">
      <c r="A244" t="s">
        <v>5</v>
      </c>
      <c r="B244" t="s">
        <v>6</v>
      </c>
      <c r="C244" t="s">
        <v>31</v>
      </c>
      <c r="D244" t="s">
        <v>32</v>
      </c>
      <c r="E244">
        <v>2021</v>
      </c>
      <c r="F244" t="s">
        <v>57</v>
      </c>
      <c r="G244" t="s">
        <v>61</v>
      </c>
      <c r="H244">
        <v>256.85523274480403</v>
      </c>
      <c r="I244">
        <f>_FIIPer100000[[#This Row],[No.Per100,000Adults]]-H243</f>
        <v>-1.3364931436179859</v>
      </c>
      <c r="J244" t="s">
        <v>67</v>
      </c>
      <c r="K244" t="s">
        <v>68</v>
      </c>
    </row>
    <row r="245" spans="1:11" hidden="1" x14ac:dyDescent="0.25">
      <c r="A245" t="s">
        <v>5</v>
      </c>
      <c r="B245" t="s">
        <v>6</v>
      </c>
      <c r="C245" t="s">
        <v>31</v>
      </c>
      <c r="D245" t="s">
        <v>32</v>
      </c>
      <c r="E245">
        <v>2022</v>
      </c>
      <c r="F245" t="s">
        <v>57</v>
      </c>
      <c r="G245" t="s">
        <v>61</v>
      </c>
      <c r="H245">
        <v>252.63395397545099</v>
      </c>
      <c r="I245">
        <f>_FIIPer100000[[#This Row],[No.Per100,000Adults]]-H244</f>
        <v>-4.2212787693530345</v>
      </c>
      <c r="J245" t="s">
        <v>67</v>
      </c>
      <c r="K245" t="s">
        <v>68</v>
      </c>
    </row>
    <row r="246" spans="1:11" hidden="1" x14ac:dyDescent="0.25">
      <c r="A246" t="s">
        <v>5</v>
      </c>
      <c r="B246" t="s">
        <v>6</v>
      </c>
      <c r="C246" t="s">
        <v>31</v>
      </c>
      <c r="D246" t="s">
        <v>32</v>
      </c>
      <c r="E246">
        <v>2023</v>
      </c>
      <c r="F246" t="s">
        <v>57</v>
      </c>
      <c r="G246" t="s">
        <v>61</v>
      </c>
      <c r="H246">
        <v>244.46929276974501</v>
      </c>
      <c r="I246">
        <f>_FIIPer100000[[#This Row],[No.Per100,000Adults]]-H245</f>
        <v>-8.1646612057059826</v>
      </c>
      <c r="J246" t="s">
        <v>67</v>
      </c>
      <c r="K246" t="s">
        <v>68</v>
      </c>
    </row>
    <row r="247" spans="1:11" hidden="1" x14ac:dyDescent="0.25">
      <c r="A247" t="s">
        <v>5</v>
      </c>
      <c r="B247" t="s">
        <v>6</v>
      </c>
      <c r="C247" t="s">
        <v>31</v>
      </c>
      <c r="D247" t="s">
        <v>32</v>
      </c>
      <c r="E247">
        <v>2024</v>
      </c>
      <c r="F247" t="s">
        <v>57</v>
      </c>
      <c r="G247" t="s">
        <v>61</v>
      </c>
      <c r="J247" t="s">
        <v>67</v>
      </c>
      <c r="K247" t="s">
        <v>68</v>
      </c>
    </row>
    <row r="248" spans="1:11" hidden="1" x14ac:dyDescent="0.25">
      <c r="A248" t="s">
        <v>5</v>
      </c>
      <c r="B248" t="s">
        <v>6</v>
      </c>
      <c r="C248" t="s">
        <v>35</v>
      </c>
      <c r="D248" t="s">
        <v>36</v>
      </c>
      <c r="E248">
        <v>2019</v>
      </c>
      <c r="F248" t="s">
        <v>57</v>
      </c>
      <c r="G248" t="s">
        <v>61</v>
      </c>
      <c r="H248" t="s">
        <v>75</v>
      </c>
      <c r="J248" t="s">
        <v>67</v>
      </c>
      <c r="K248" t="s">
        <v>68</v>
      </c>
    </row>
    <row r="249" spans="1:11" hidden="1" x14ac:dyDescent="0.25">
      <c r="A249" t="s">
        <v>5</v>
      </c>
      <c r="B249" t="s">
        <v>6</v>
      </c>
      <c r="C249" t="s">
        <v>35</v>
      </c>
      <c r="D249" t="s">
        <v>36</v>
      </c>
      <c r="E249">
        <v>2020</v>
      </c>
      <c r="F249" t="s">
        <v>57</v>
      </c>
      <c r="G249" t="s">
        <v>61</v>
      </c>
      <c r="H249" t="s">
        <v>76</v>
      </c>
      <c r="I249">
        <f>_FIIPer100000[[#This Row],[No.Per100,000Adults]]-H248</f>
        <v>3.164366664898921E-2</v>
      </c>
      <c r="J249" t="s">
        <v>67</v>
      </c>
      <c r="K249" t="s">
        <v>68</v>
      </c>
    </row>
    <row r="250" spans="1:11" hidden="1" x14ac:dyDescent="0.25">
      <c r="A250" t="s">
        <v>5</v>
      </c>
      <c r="B250" t="s">
        <v>6</v>
      </c>
      <c r="C250" t="s">
        <v>35</v>
      </c>
      <c r="D250" t="s">
        <v>36</v>
      </c>
      <c r="E250">
        <v>2021</v>
      </c>
      <c r="F250" t="s">
        <v>57</v>
      </c>
      <c r="G250" t="s">
        <v>61</v>
      </c>
      <c r="H250" t="s">
        <v>77</v>
      </c>
      <c r="I250">
        <f>_FIIPer100000[[#This Row],[No.Per100,000Adults]]-H249</f>
        <v>-8.5767353587970092</v>
      </c>
      <c r="J250" t="s">
        <v>67</v>
      </c>
      <c r="K250" t="s">
        <v>68</v>
      </c>
    </row>
    <row r="251" spans="1:11" hidden="1" x14ac:dyDescent="0.25">
      <c r="A251" t="s">
        <v>5</v>
      </c>
      <c r="B251" t="s">
        <v>6</v>
      </c>
      <c r="C251" t="s">
        <v>35</v>
      </c>
      <c r="D251" t="s">
        <v>36</v>
      </c>
      <c r="E251">
        <v>2022</v>
      </c>
      <c r="F251" t="s">
        <v>57</v>
      </c>
      <c r="G251" t="s">
        <v>61</v>
      </c>
      <c r="H251" t="s">
        <v>78</v>
      </c>
      <c r="I251">
        <f>_FIIPer100000[[#This Row],[No.Per100,000Adults]]-H250</f>
        <v>-9.6576121819149989</v>
      </c>
      <c r="J251" t="s">
        <v>67</v>
      </c>
      <c r="K251" t="s">
        <v>68</v>
      </c>
    </row>
    <row r="252" spans="1:11" hidden="1" x14ac:dyDescent="0.25">
      <c r="A252" t="s">
        <v>5</v>
      </c>
      <c r="B252" t="s">
        <v>6</v>
      </c>
      <c r="C252" t="s">
        <v>35</v>
      </c>
      <c r="D252" t="s">
        <v>36</v>
      </c>
      <c r="E252">
        <v>2023</v>
      </c>
      <c r="F252" t="s">
        <v>57</v>
      </c>
      <c r="G252" t="s">
        <v>61</v>
      </c>
      <c r="H252" t="s">
        <v>79</v>
      </c>
      <c r="I252">
        <f>_FIIPer100000[[#This Row],[No.Per100,000Adults]]-H251</f>
        <v>-29.660701620085007</v>
      </c>
      <c r="J252" t="s">
        <v>67</v>
      </c>
      <c r="K252" t="s">
        <v>68</v>
      </c>
    </row>
    <row r="253" spans="1:11" hidden="1" x14ac:dyDescent="0.25">
      <c r="A253" t="s">
        <v>5</v>
      </c>
      <c r="B253" t="s">
        <v>6</v>
      </c>
      <c r="C253" t="s">
        <v>35</v>
      </c>
      <c r="D253" t="s">
        <v>36</v>
      </c>
      <c r="E253">
        <v>2024</v>
      </c>
      <c r="F253" t="s">
        <v>57</v>
      </c>
      <c r="G253" t="s">
        <v>61</v>
      </c>
      <c r="H253" t="s">
        <v>80</v>
      </c>
      <c r="I253">
        <f>_FIIPer100000[[#This Row],[No.Per100,000Adults]]-H252</f>
        <v>-6.1836115262359783</v>
      </c>
      <c r="J253" t="s">
        <v>67</v>
      </c>
      <c r="K253" t="s">
        <v>68</v>
      </c>
    </row>
    <row r="254" spans="1:11" hidden="1" x14ac:dyDescent="0.25">
      <c r="A254" t="s">
        <v>5</v>
      </c>
      <c r="B254" t="s">
        <v>6</v>
      </c>
      <c r="C254" t="s">
        <v>7</v>
      </c>
      <c r="D254" t="s">
        <v>8</v>
      </c>
      <c r="E254">
        <v>2019</v>
      </c>
      <c r="F254" t="s">
        <v>57</v>
      </c>
      <c r="G254" t="s">
        <v>61</v>
      </c>
      <c r="H254">
        <v>84.588951989385905</v>
      </c>
      <c r="J254" t="s">
        <v>67</v>
      </c>
      <c r="K254" t="s">
        <v>68</v>
      </c>
    </row>
    <row r="255" spans="1:11" hidden="1" x14ac:dyDescent="0.25">
      <c r="A255" t="s">
        <v>5</v>
      </c>
      <c r="B255" t="s">
        <v>6</v>
      </c>
      <c r="C255" t="s">
        <v>7</v>
      </c>
      <c r="D255" t="s">
        <v>8</v>
      </c>
      <c r="E255">
        <v>2020</v>
      </c>
      <c r="F255" t="s">
        <v>57</v>
      </c>
      <c r="G255" t="s">
        <v>61</v>
      </c>
      <c r="H255">
        <v>77.836685456249995</v>
      </c>
      <c r="I255">
        <f>_FIIPer100000[[#This Row],[No.Per100,000Adults]]-H254</f>
        <v>-6.7522665331359093</v>
      </c>
      <c r="J255" t="s">
        <v>67</v>
      </c>
      <c r="K255" t="s">
        <v>68</v>
      </c>
    </row>
    <row r="256" spans="1:11" hidden="1" x14ac:dyDescent="0.25">
      <c r="A256" t="s">
        <v>5</v>
      </c>
      <c r="B256" t="s">
        <v>6</v>
      </c>
      <c r="C256" t="s">
        <v>7</v>
      </c>
      <c r="D256" t="s">
        <v>8</v>
      </c>
      <c r="E256">
        <v>2021</v>
      </c>
      <c r="F256" t="s">
        <v>57</v>
      </c>
      <c r="G256" t="s">
        <v>61</v>
      </c>
      <c r="H256">
        <v>71.853201962655604</v>
      </c>
      <c r="I256">
        <f>_FIIPer100000[[#This Row],[No.Per100,000Adults]]-H255</f>
        <v>-5.9834834935943917</v>
      </c>
      <c r="J256" t="s">
        <v>67</v>
      </c>
      <c r="K256" t="s">
        <v>68</v>
      </c>
    </row>
    <row r="257" spans="1:11" hidden="1" x14ac:dyDescent="0.25">
      <c r="A257" t="s">
        <v>5</v>
      </c>
      <c r="B257" t="s">
        <v>6</v>
      </c>
      <c r="C257" t="s">
        <v>7</v>
      </c>
      <c r="D257" t="s">
        <v>8</v>
      </c>
      <c r="E257">
        <v>2022</v>
      </c>
      <c r="F257" t="s">
        <v>57</v>
      </c>
      <c r="G257" t="s">
        <v>61</v>
      </c>
      <c r="H257">
        <v>67.026063739225293</v>
      </c>
      <c r="I257">
        <f>_FIIPer100000[[#This Row],[No.Per100,000Adults]]-H256</f>
        <v>-4.8271382234303104</v>
      </c>
      <c r="J257" t="s">
        <v>67</v>
      </c>
      <c r="K257" t="s">
        <v>68</v>
      </c>
    </row>
    <row r="258" spans="1:11" hidden="1" x14ac:dyDescent="0.25">
      <c r="A258" t="s">
        <v>5</v>
      </c>
      <c r="B258" t="s">
        <v>6</v>
      </c>
      <c r="C258" t="s">
        <v>7</v>
      </c>
      <c r="D258" t="s">
        <v>8</v>
      </c>
      <c r="E258">
        <v>2023</v>
      </c>
      <c r="F258" t="s">
        <v>57</v>
      </c>
      <c r="G258" t="s">
        <v>61</v>
      </c>
      <c r="H258">
        <v>62.366024847274701</v>
      </c>
      <c r="I258">
        <f>_FIIPer100000[[#This Row],[No.Per100,000Adults]]-H257</f>
        <v>-4.6600388919505917</v>
      </c>
      <c r="J258" t="s">
        <v>67</v>
      </c>
      <c r="K258" t="s">
        <v>68</v>
      </c>
    </row>
    <row r="259" spans="1:11" hidden="1" x14ac:dyDescent="0.25">
      <c r="A259" t="s">
        <v>5</v>
      </c>
      <c r="B259" t="s">
        <v>6</v>
      </c>
      <c r="C259" t="s">
        <v>7</v>
      </c>
      <c r="D259" t="s">
        <v>8</v>
      </c>
      <c r="E259">
        <v>2024</v>
      </c>
      <c r="F259" t="s">
        <v>57</v>
      </c>
      <c r="G259" t="s">
        <v>61</v>
      </c>
      <c r="H259">
        <v>56.057034118449103</v>
      </c>
      <c r="I259">
        <f>_FIIPer100000[[#This Row],[No.Per100,000Adults]]-H258</f>
        <v>-6.3089907288255986</v>
      </c>
      <c r="J259" t="s">
        <v>67</v>
      </c>
      <c r="K259" t="s">
        <v>68</v>
      </c>
    </row>
    <row r="260" spans="1:11" hidden="1" x14ac:dyDescent="0.25">
      <c r="A260" t="s">
        <v>45</v>
      </c>
      <c r="B260" t="s">
        <v>46</v>
      </c>
      <c r="C260" t="s">
        <v>7</v>
      </c>
      <c r="D260" t="s">
        <v>8</v>
      </c>
      <c r="E260">
        <v>2019</v>
      </c>
      <c r="F260" t="s">
        <v>57</v>
      </c>
      <c r="G260" t="s">
        <v>61</v>
      </c>
      <c r="H260">
        <v>84.588951989385905</v>
      </c>
      <c r="J260" t="s">
        <v>67</v>
      </c>
      <c r="K260" t="s">
        <v>68</v>
      </c>
    </row>
    <row r="261" spans="1:11" hidden="1" x14ac:dyDescent="0.25">
      <c r="A261" t="s">
        <v>45</v>
      </c>
      <c r="B261" t="s">
        <v>46</v>
      </c>
      <c r="C261" t="s">
        <v>7</v>
      </c>
      <c r="D261" t="s">
        <v>8</v>
      </c>
      <c r="E261">
        <v>2020</v>
      </c>
      <c r="F261" t="s">
        <v>57</v>
      </c>
      <c r="G261" t="s">
        <v>61</v>
      </c>
      <c r="H261">
        <v>77.836685456249995</v>
      </c>
      <c r="I261">
        <f>_FIIPer100000[[#This Row],[No.Per100,000Adults]]-H260</f>
        <v>-6.7522665331359093</v>
      </c>
      <c r="J261" t="s">
        <v>67</v>
      </c>
      <c r="K261" t="s">
        <v>68</v>
      </c>
    </row>
    <row r="262" spans="1:11" hidden="1" x14ac:dyDescent="0.25">
      <c r="A262" t="s">
        <v>45</v>
      </c>
      <c r="B262" t="s">
        <v>46</v>
      </c>
      <c r="C262" t="s">
        <v>7</v>
      </c>
      <c r="D262" t="s">
        <v>8</v>
      </c>
      <c r="E262">
        <v>2021</v>
      </c>
      <c r="F262" t="s">
        <v>57</v>
      </c>
      <c r="G262" t="s">
        <v>61</v>
      </c>
      <c r="H262">
        <v>71.853201962655604</v>
      </c>
      <c r="I262">
        <f>_FIIPer100000[[#This Row],[No.Per100,000Adults]]-H261</f>
        <v>-5.9834834935943917</v>
      </c>
      <c r="J262" t="s">
        <v>67</v>
      </c>
      <c r="K262" t="s">
        <v>68</v>
      </c>
    </row>
    <row r="263" spans="1:11" hidden="1" x14ac:dyDescent="0.25">
      <c r="A263" t="s">
        <v>45</v>
      </c>
      <c r="B263" t="s">
        <v>46</v>
      </c>
      <c r="C263" t="s">
        <v>7</v>
      </c>
      <c r="D263" t="s">
        <v>8</v>
      </c>
      <c r="E263">
        <v>2022</v>
      </c>
      <c r="F263" t="s">
        <v>57</v>
      </c>
      <c r="G263" t="s">
        <v>61</v>
      </c>
      <c r="H263">
        <v>67.026063739225293</v>
      </c>
      <c r="I263">
        <f>_FIIPer100000[[#This Row],[No.Per100,000Adults]]-H262</f>
        <v>-4.8271382234303104</v>
      </c>
      <c r="J263" t="s">
        <v>67</v>
      </c>
      <c r="K263" t="s">
        <v>68</v>
      </c>
    </row>
    <row r="264" spans="1:11" hidden="1" x14ac:dyDescent="0.25">
      <c r="A264" t="s">
        <v>45</v>
      </c>
      <c r="B264" t="s">
        <v>46</v>
      </c>
      <c r="C264" t="s">
        <v>7</v>
      </c>
      <c r="D264" t="s">
        <v>8</v>
      </c>
      <c r="E264">
        <v>2023</v>
      </c>
      <c r="F264" t="s">
        <v>57</v>
      </c>
      <c r="G264" t="s">
        <v>61</v>
      </c>
      <c r="H264">
        <v>62.366024847274701</v>
      </c>
      <c r="I264">
        <f>_FIIPer100000[[#This Row],[No.Per100,000Adults]]-H263</f>
        <v>-4.6600388919505917</v>
      </c>
      <c r="J264" t="s">
        <v>67</v>
      </c>
      <c r="K264" t="s">
        <v>68</v>
      </c>
    </row>
    <row r="265" spans="1:11" hidden="1" x14ac:dyDescent="0.25">
      <c r="A265" t="s">
        <v>45</v>
      </c>
      <c r="B265" t="s">
        <v>46</v>
      </c>
      <c r="C265" t="s">
        <v>7</v>
      </c>
      <c r="D265" t="s">
        <v>8</v>
      </c>
      <c r="E265">
        <v>2024</v>
      </c>
      <c r="F265" t="s">
        <v>57</v>
      </c>
      <c r="G265" t="s">
        <v>61</v>
      </c>
      <c r="H265">
        <v>56.057034118449103</v>
      </c>
      <c r="I265">
        <f>_FIIPer100000[[#This Row],[No.Per100,000Adults]]-H264</f>
        <v>-6.3089907288255986</v>
      </c>
      <c r="J265" t="s">
        <v>67</v>
      </c>
      <c r="K265" t="s">
        <v>68</v>
      </c>
    </row>
    <row r="266" spans="1:11" hidden="1" x14ac:dyDescent="0.25">
      <c r="A266" t="s">
        <v>5</v>
      </c>
      <c r="B266" t="s">
        <v>6</v>
      </c>
      <c r="C266" t="s">
        <v>37</v>
      </c>
      <c r="D266" t="s">
        <v>38</v>
      </c>
      <c r="E266">
        <v>2019</v>
      </c>
      <c r="F266" t="s">
        <v>57</v>
      </c>
      <c r="G266" t="s">
        <v>61</v>
      </c>
      <c r="H266">
        <v>62.821844593288297</v>
      </c>
      <c r="J266" t="s">
        <v>67</v>
      </c>
      <c r="K266" t="s">
        <v>68</v>
      </c>
    </row>
    <row r="267" spans="1:11" hidden="1" x14ac:dyDescent="0.25">
      <c r="A267" t="s">
        <v>5</v>
      </c>
      <c r="B267" t="s">
        <v>6</v>
      </c>
      <c r="C267" t="s">
        <v>37</v>
      </c>
      <c r="D267" t="s">
        <v>38</v>
      </c>
      <c r="E267">
        <v>2020</v>
      </c>
      <c r="F267" t="s">
        <v>57</v>
      </c>
      <c r="G267" t="s">
        <v>61</v>
      </c>
      <c r="H267">
        <v>55.958858432049901</v>
      </c>
      <c r="I267">
        <f>_FIIPer100000[[#This Row],[No.Per100,000Adults]]-H266</f>
        <v>-6.8629861612383962</v>
      </c>
      <c r="J267" t="s">
        <v>67</v>
      </c>
      <c r="K267" t="s">
        <v>68</v>
      </c>
    </row>
    <row r="268" spans="1:11" hidden="1" x14ac:dyDescent="0.25">
      <c r="A268" t="s">
        <v>5</v>
      </c>
      <c r="B268" t="s">
        <v>6</v>
      </c>
      <c r="C268" t="s">
        <v>37</v>
      </c>
      <c r="D268" t="s">
        <v>38</v>
      </c>
      <c r="E268">
        <v>2021</v>
      </c>
      <c r="F268" t="s">
        <v>57</v>
      </c>
      <c r="G268" t="s">
        <v>61</v>
      </c>
      <c r="H268">
        <v>50.628591260057398</v>
      </c>
      <c r="I268">
        <f>_FIIPer100000[[#This Row],[No.Per100,000Adults]]-H267</f>
        <v>-5.330267171992503</v>
      </c>
      <c r="J268" t="s">
        <v>67</v>
      </c>
      <c r="K268" t="s">
        <v>68</v>
      </c>
    </row>
    <row r="269" spans="1:11" hidden="1" x14ac:dyDescent="0.25">
      <c r="A269" t="s">
        <v>5</v>
      </c>
      <c r="B269" t="s">
        <v>6</v>
      </c>
      <c r="C269" t="s">
        <v>37</v>
      </c>
      <c r="D269" t="s">
        <v>38</v>
      </c>
      <c r="E269">
        <v>2022</v>
      </c>
      <c r="F269" t="s">
        <v>57</v>
      </c>
      <c r="G269" t="s">
        <v>61</v>
      </c>
      <c r="H269">
        <v>46.912863354389103</v>
      </c>
      <c r="I269">
        <f>_FIIPer100000[[#This Row],[No.Per100,000Adults]]-H268</f>
        <v>-3.7157279056682953</v>
      </c>
      <c r="J269" t="s">
        <v>67</v>
      </c>
      <c r="K269" t="s">
        <v>68</v>
      </c>
    </row>
    <row r="270" spans="1:11" hidden="1" x14ac:dyDescent="0.25">
      <c r="A270" t="s">
        <v>5</v>
      </c>
      <c r="B270" t="s">
        <v>6</v>
      </c>
      <c r="C270" t="s">
        <v>37</v>
      </c>
      <c r="D270" t="s">
        <v>38</v>
      </c>
      <c r="E270">
        <v>2023</v>
      </c>
      <c r="F270" t="s">
        <v>57</v>
      </c>
      <c r="G270" t="s">
        <v>61</v>
      </c>
      <c r="H270">
        <v>46.777321628501397</v>
      </c>
      <c r="I270">
        <f>_FIIPer100000[[#This Row],[No.Per100,000Adults]]-H269</f>
        <v>-0.13554172588770541</v>
      </c>
      <c r="J270" t="s">
        <v>67</v>
      </c>
      <c r="K270" t="s">
        <v>68</v>
      </c>
    </row>
    <row r="271" spans="1:11" hidden="1" x14ac:dyDescent="0.25">
      <c r="A271" t="s">
        <v>5</v>
      </c>
      <c r="B271" t="s">
        <v>6</v>
      </c>
      <c r="C271" t="s">
        <v>37</v>
      </c>
      <c r="D271" t="s">
        <v>38</v>
      </c>
      <c r="E271">
        <v>2024</v>
      </c>
      <c r="F271" t="s">
        <v>57</v>
      </c>
      <c r="G271" t="s">
        <v>61</v>
      </c>
      <c r="H271">
        <v>45.961485438784202</v>
      </c>
      <c r="I271">
        <f>_FIIPer100000[[#This Row],[No.Per100,000Adults]]-H270</f>
        <v>-0.81583618971719574</v>
      </c>
      <c r="J271" t="s">
        <v>67</v>
      </c>
      <c r="K271" t="s">
        <v>68</v>
      </c>
    </row>
    <row r="272" spans="1:11" hidden="1" x14ac:dyDescent="0.25">
      <c r="A272" t="s">
        <v>5</v>
      </c>
      <c r="B272" t="s">
        <v>6</v>
      </c>
      <c r="C272" t="s">
        <v>39</v>
      </c>
      <c r="D272" t="s">
        <v>40</v>
      </c>
      <c r="E272">
        <v>2019</v>
      </c>
      <c r="F272" t="s">
        <v>57</v>
      </c>
      <c r="G272" t="s">
        <v>61</v>
      </c>
      <c r="H272">
        <v>83.347889033628505</v>
      </c>
      <c r="J272" t="s">
        <v>67</v>
      </c>
      <c r="K272" t="s">
        <v>68</v>
      </c>
    </row>
    <row r="273" spans="1:11" hidden="1" x14ac:dyDescent="0.25">
      <c r="A273" t="s">
        <v>5</v>
      </c>
      <c r="B273" t="s">
        <v>6</v>
      </c>
      <c r="C273" t="s">
        <v>39</v>
      </c>
      <c r="D273" t="s">
        <v>40</v>
      </c>
      <c r="E273">
        <v>2020</v>
      </c>
      <c r="F273" t="s">
        <v>57</v>
      </c>
      <c r="G273" t="s">
        <v>61</v>
      </c>
      <c r="H273">
        <v>81.986926565130702</v>
      </c>
      <c r="I273">
        <f>_FIIPer100000[[#This Row],[No.Per100,000Adults]]-H272</f>
        <v>-1.360962468497803</v>
      </c>
      <c r="J273" t="s">
        <v>67</v>
      </c>
      <c r="K273" t="s">
        <v>68</v>
      </c>
    </row>
    <row r="274" spans="1:11" hidden="1" x14ac:dyDescent="0.25">
      <c r="A274" t="s">
        <v>5</v>
      </c>
      <c r="B274" t="s">
        <v>6</v>
      </c>
      <c r="C274" t="s">
        <v>39</v>
      </c>
      <c r="D274" t="s">
        <v>40</v>
      </c>
      <c r="E274">
        <v>2021</v>
      </c>
      <c r="F274" t="s">
        <v>57</v>
      </c>
      <c r="G274" t="s">
        <v>61</v>
      </c>
      <c r="H274">
        <v>80.107030611476205</v>
      </c>
      <c r="I274">
        <f>_FIIPer100000[[#This Row],[No.Per100,000Adults]]-H273</f>
        <v>-1.879895953654497</v>
      </c>
      <c r="J274" t="s">
        <v>67</v>
      </c>
      <c r="K274" t="s">
        <v>68</v>
      </c>
    </row>
    <row r="275" spans="1:11" hidden="1" x14ac:dyDescent="0.25">
      <c r="A275" t="s">
        <v>5</v>
      </c>
      <c r="B275" t="s">
        <v>6</v>
      </c>
      <c r="C275" t="s">
        <v>39</v>
      </c>
      <c r="D275" t="s">
        <v>40</v>
      </c>
      <c r="E275">
        <v>2022</v>
      </c>
      <c r="F275" t="s">
        <v>57</v>
      </c>
      <c r="G275" t="s">
        <v>61</v>
      </c>
      <c r="H275">
        <v>78.721392661332601</v>
      </c>
      <c r="I275">
        <f>_FIIPer100000[[#This Row],[No.Per100,000Adults]]-H274</f>
        <v>-1.3856379501436038</v>
      </c>
      <c r="J275" t="s">
        <v>67</v>
      </c>
      <c r="K275" t="s">
        <v>68</v>
      </c>
    </row>
    <row r="276" spans="1:11" hidden="1" x14ac:dyDescent="0.25">
      <c r="A276" t="s">
        <v>5</v>
      </c>
      <c r="B276" t="s">
        <v>6</v>
      </c>
      <c r="C276" t="s">
        <v>39</v>
      </c>
      <c r="D276" t="s">
        <v>40</v>
      </c>
      <c r="E276">
        <v>2023</v>
      </c>
      <c r="F276" t="s">
        <v>57</v>
      </c>
      <c r="G276" t="s">
        <v>61</v>
      </c>
      <c r="H276">
        <v>79.372019688171406</v>
      </c>
      <c r="I276">
        <f>_FIIPer100000[[#This Row],[No.Per100,000Adults]]-H275</f>
        <v>0.65062702683880502</v>
      </c>
      <c r="J276" t="s">
        <v>67</v>
      </c>
      <c r="K276" t="s">
        <v>68</v>
      </c>
    </row>
    <row r="277" spans="1:11" hidden="1" x14ac:dyDescent="0.25">
      <c r="A277" t="s">
        <v>5</v>
      </c>
      <c r="B277" t="s">
        <v>6</v>
      </c>
      <c r="C277" t="s">
        <v>39</v>
      </c>
      <c r="D277" t="s">
        <v>40</v>
      </c>
      <c r="E277">
        <v>2024</v>
      </c>
      <c r="F277" t="s">
        <v>57</v>
      </c>
      <c r="G277" t="s">
        <v>61</v>
      </c>
      <c r="H277">
        <v>81.094631641375798</v>
      </c>
      <c r="I277">
        <f>_FIIPer100000[[#This Row],[No.Per100,000Adults]]-H276</f>
        <v>1.7226119532043924</v>
      </c>
      <c r="J277" t="s">
        <v>67</v>
      </c>
      <c r="K277" t="s">
        <v>68</v>
      </c>
    </row>
    <row r="278" spans="1:11" hidden="1" x14ac:dyDescent="0.25">
      <c r="A278" t="s">
        <v>45</v>
      </c>
      <c r="B278" t="s">
        <v>46</v>
      </c>
      <c r="C278" t="s">
        <v>55</v>
      </c>
      <c r="D278" t="s">
        <v>56</v>
      </c>
      <c r="E278">
        <v>2019</v>
      </c>
      <c r="F278" t="s">
        <v>57</v>
      </c>
      <c r="G278" t="s">
        <v>61</v>
      </c>
      <c r="H278">
        <v>65.676541480571203</v>
      </c>
      <c r="J278" t="s">
        <v>67</v>
      </c>
      <c r="K278" t="s">
        <v>68</v>
      </c>
    </row>
    <row r="279" spans="1:11" hidden="1" x14ac:dyDescent="0.25">
      <c r="A279" t="s">
        <v>45</v>
      </c>
      <c r="B279" t="s">
        <v>46</v>
      </c>
      <c r="C279" t="s">
        <v>55</v>
      </c>
      <c r="D279" t="s">
        <v>56</v>
      </c>
      <c r="E279">
        <v>2020</v>
      </c>
      <c r="F279" t="s">
        <v>57</v>
      </c>
      <c r="G279" t="s">
        <v>61</v>
      </c>
      <c r="H279">
        <v>57.463303144523898</v>
      </c>
      <c r="I279">
        <f>_FIIPer100000[[#This Row],[No.Per100,000Adults]]-H278</f>
        <v>-8.2132383360473042</v>
      </c>
      <c r="J279" t="s">
        <v>67</v>
      </c>
      <c r="K279" t="s">
        <v>68</v>
      </c>
    </row>
    <row r="280" spans="1:11" hidden="1" x14ac:dyDescent="0.25">
      <c r="A280" t="s">
        <v>45</v>
      </c>
      <c r="B280" t="s">
        <v>46</v>
      </c>
      <c r="C280" t="s">
        <v>55</v>
      </c>
      <c r="D280" t="s">
        <v>56</v>
      </c>
      <c r="E280">
        <v>2021</v>
      </c>
      <c r="F280" t="s">
        <v>57</v>
      </c>
      <c r="G280" t="s">
        <v>61</v>
      </c>
      <c r="H280">
        <v>56.075670009223899</v>
      </c>
      <c r="I280">
        <f>_FIIPer100000[[#This Row],[No.Per100,000Adults]]-H279</f>
        <v>-1.3876331352999998</v>
      </c>
      <c r="J280" t="s">
        <v>67</v>
      </c>
      <c r="K280" t="s">
        <v>68</v>
      </c>
    </row>
    <row r="281" spans="1:11" hidden="1" x14ac:dyDescent="0.25">
      <c r="A281" t="s">
        <v>45</v>
      </c>
      <c r="B281" t="s">
        <v>46</v>
      </c>
      <c r="C281" t="s">
        <v>55</v>
      </c>
      <c r="D281" t="s">
        <v>56</v>
      </c>
      <c r="E281">
        <v>2022</v>
      </c>
      <c r="F281" t="s">
        <v>57</v>
      </c>
      <c r="G281" t="s">
        <v>61</v>
      </c>
      <c r="H281">
        <v>53.649395262464999</v>
      </c>
      <c r="I281">
        <f>_FIIPer100000[[#This Row],[No.Per100,000Adults]]-H280</f>
        <v>-2.4262747467588994</v>
      </c>
      <c r="J281" t="s">
        <v>67</v>
      </c>
      <c r="K281" t="s">
        <v>68</v>
      </c>
    </row>
    <row r="282" spans="1:11" hidden="1" x14ac:dyDescent="0.25">
      <c r="A282" t="s">
        <v>45</v>
      </c>
      <c r="B282" t="s">
        <v>46</v>
      </c>
      <c r="C282" t="s">
        <v>55</v>
      </c>
      <c r="D282" t="s">
        <v>56</v>
      </c>
      <c r="E282">
        <v>2023</v>
      </c>
      <c r="F282" t="s">
        <v>57</v>
      </c>
      <c r="G282" t="s">
        <v>61</v>
      </c>
      <c r="H282">
        <v>54.160041642950802</v>
      </c>
      <c r="I282">
        <f>_FIIPer100000[[#This Row],[No.Per100,000Adults]]-H281</f>
        <v>0.51064638048580235</v>
      </c>
      <c r="J282" t="s">
        <v>67</v>
      </c>
      <c r="K282" t="s">
        <v>68</v>
      </c>
    </row>
    <row r="283" spans="1:11" hidden="1" x14ac:dyDescent="0.25">
      <c r="A283" t="s">
        <v>45</v>
      </c>
      <c r="B283" t="s">
        <v>46</v>
      </c>
      <c r="C283" t="s">
        <v>55</v>
      </c>
      <c r="D283" t="s">
        <v>56</v>
      </c>
      <c r="E283">
        <v>2024</v>
      </c>
      <c r="F283" t="s">
        <v>57</v>
      </c>
      <c r="G283" t="s">
        <v>61</v>
      </c>
      <c r="J283" t="s">
        <v>67</v>
      </c>
      <c r="K283" t="s">
        <v>68</v>
      </c>
    </row>
    <row r="284" spans="1:11" hidden="1" x14ac:dyDescent="0.25">
      <c r="A284" t="s">
        <v>5</v>
      </c>
      <c r="B284" t="s">
        <v>6</v>
      </c>
      <c r="C284" t="s">
        <v>41</v>
      </c>
      <c r="D284" t="s">
        <v>42</v>
      </c>
      <c r="E284">
        <v>2019</v>
      </c>
      <c r="F284" t="s">
        <v>57</v>
      </c>
      <c r="G284" t="s">
        <v>61</v>
      </c>
      <c r="H284">
        <v>111.056481764636</v>
      </c>
      <c r="J284" t="s">
        <v>67</v>
      </c>
      <c r="K284" t="s">
        <v>68</v>
      </c>
    </row>
    <row r="285" spans="1:11" hidden="1" x14ac:dyDescent="0.25">
      <c r="A285" t="s">
        <v>5</v>
      </c>
      <c r="B285" t="s">
        <v>6</v>
      </c>
      <c r="C285" t="s">
        <v>41</v>
      </c>
      <c r="D285" t="s">
        <v>42</v>
      </c>
      <c r="E285">
        <v>2020</v>
      </c>
      <c r="F285" t="s">
        <v>57</v>
      </c>
      <c r="G285" t="s">
        <v>61</v>
      </c>
      <c r="H285">
        <v>99.673885544265701</v>
      </c>
      <c r="I285">
        <f>_FIIPer100000[[#This Row],[No.Per100,000Adults]]-H284</f>
        <v>-11.382596220370303</v>
      </c>
      <c r="J285" t="s">
        <v>67</v>
      </c>
      <c r="K285" t="s">
        <v>68</v>
      </c>
    </row>
    <row r="286" spans="1:11" hidden="1" x14ac:dyDescent="0.25">
      <c r="A286" t="s">
        <v>5</v>
      </c>
      <c r="B286" t="s">
        <v>6</v>
      </c>
      <c r="C286" t="s">
        <v>41</v>
      </c>
      <c r="D286" t="s">
        <v>42</v>
      </c>
      <c r="E286">
        <v>2021</v>
      </c>
      <c r="F286" t="s">
        <v>57</v>
      </c>
      <c r="G286" t="s">
        <v>61</v>
      </c>
      <c r="H286">
        <v>97.021044398347399</v>
      </c>
      <c r="I286">
        <f>_FIIPer100000[[#This Row],[No.Per100,000Adults]]-H285</f>
        <v>-2.6528411459183019</v>
      </c>
      <c r="J286" t="s">
        <v>67</v>
      </c>
      <c r="K286" t="s">
        <v>68</v>
      </c>
    </row>
    <row r="287" spans="1:11" hidden="1" x14ac:dyDescent="0.25">
      <c r="A287" t="s">
        <v>5</v>
      </c>
      <c r="B287" t="s">
        <v>6</v>
      </c>
      <c r="C287" t="s">
        <v>41</v>
      </c>
      <c r="D287" t="s">
        <v>42</v>
      </c>
      <c r="E287">
        <v>2022</v>
      </c>
      <c r="F287" t="s">
        <v>57</v>
      </c>
      <c r="G287" t="s">
        <v>61</v>
      </c>
      <c r="H287">
        <v>90.328046323238993</v>
      </c>
      <c r="I287">
        <f>_FIIPer100000[[#This Row],[No.Per100,000Adults]]-H286</f>
        <v>-6.6929980751084059</v>
      </c>
      <c r="J287" t="s">
        <v>67</v>
      </c>
      <c r="K287" t="s">
        <v>68</v>
      </c>
    </row>
    <row r="288" spans="1:11" hidden="1" x14ac:dyDescent="0.25">
      <c r="A288" t="s">
        <v>5</v>
      </c>
      <c r="B288" t="s">
        <v>6</v>
      </c>
      <c r="C288" t="s">
        <v>41</v>
      </c>
      <c r="D288" t="s">
        <v>42</v>
      </c>
      <c r="E288">
        <v>2023</v>
      </c>
      <c r="F288" t="s">
        <v>57</v>
      </c>
      <c r="G288" t="s">
        <v>61</v>
      </c>
      <c r="H288">
        <v>84.342547096485106</v>
      </c>
      <c r="I288">
        <f>_FIIPer100000[[#This Row],[No.Per100,000Adults]]-H287</f>
        <v>-5.9854992267538876</v>
      </c>
      <c r="J288" t="s">
        <v>67</v>
      </c>
      <c r="K288" t="s">
        <v>68</v>
      </c>
    </row>
    <row r="289" spans="1:11" hidden="1" x14ac:dyDescent="0.25">
      <c r="A289" t="s">
        <v>5</v>
      </c>
      <c r="B289" t="s">
        <v>6</v>
      </c>
      <c r="C289" t="s">
        <v>41</v>
      </c>
      <c r="D289" t="s">
        <v>42</v>
      </c>
      <c r="E289">
        <v>2024</v>
      </c>
      <c r="F289" t="s">
        <v>57</v>
      </c>
      <c r="G289" t="s">
        <v>61</v>
      </c>
      <c r="H289">
        <v>77.741852882670401</v>
      </c>
      <c r="I289">
        <f>_FIIPer100000[[#This Row],[No.Per100,000Adults]]-H288</f>
        <v>-6.6006942138147053</v>
      </c>
      <c r="J289" t="s">
        <v>67</v>
      </c>
      <c r="K289" t="s">
        <v>68</v>
      </c>
    </row>
    <row r="290" spans="1:11" hidden="1" x14ac:dyDescent="0.25">
      <c r="A290" t="s">
        <v>5</v>
      </c>
      <c r="B290" t="s">
        <v>6</v>
      </c>
      <c r="C290" t="s">
        <v>43</v>
      </c>
      <c r="D290" t="s">
        <v>44</v>
      </c>
      <c r="E290">
        <v>2019</v>
      </c>
      <c r="F290" t="s">
        <v>57</v>
      </c>
      <c r="G290" t="s">
        <v>61</v>
      </c>
      <c r="J290" t="s">
        <v>67</v>
      </c>
      <c r="K290" t="s">
        <v>68</v>
      </c>
    </row>
    <row r="291" spans="1:11" hidden="1" x14ac:dyDescent="0.25">
      <c r="A291" t="s">
        <v>5</v>
      </c>
      <c r="B291" t="s">
        <v>6</v>
      </c>
      <c r="C291" t="s">
        <v>43</v>
      </c>
      <c r="D291" t="s">
        <v>44</v>
      </c>
      <c r="E291">
        <v>2020</v>
      </c>
      <c r="F291" t="s">
        <v>57</v>
      </c>
      <c r="G291" t="s">
        <v>61</v>
      </c>
      <c r="J291" t="s">
        <v>67</v>
      </c>
      <c r="K291" t="s">
        <v>68</v>
      </c>
    </row>
    <row r="292" spans="1:11" hidden="1" x14ac:dyDescent="0.25">
      <c r="A292" t="s">
        <v>5</v>
      </c>
      <c r="B292" t="s">
        <v>6</v>
      </c>
      <c r="C292" t="s">
        <v>43</v>
      </c>
      <c r="D292" t="s">
        <v>44</v>
      </c>
      <c r="E292">
        <v>2021</v>
      </c>
      <c r="F292" t="s">
        <v>57</v>
      </c>
      <c r="G292" t="s">
        <v>61</v>
      </c>
      <c r="J292" t="s">
        <v>67</v>
      </c>
      <c r="K292" t="s">
        <v>68</v>
      </c>
    </row>
    <row r="293" spans="1:11" hidden="1" x14ac:dyDescent="0.25">
      <c r="A293" t="s">
        <v>5</v>
      </c>
      <c r="B293" t="s">
        <v>6</v>
      </c>
      <c r="C293" t="s">
        <v>43</v>
      </c>
      <c r="D293" t="s">
        <v>44</v>
      </c>
      <c r="E293">
        <v>2022</v>
      </c>
      <c r="F293" t="s">
        <v>57</v>
      </c>
      <c r="G293" t="s">
        <v>61</v>
      </c>
      <c r="J293" t="s">
        <v>67</v>
      </c>
      <c r="K293" t="s">
        <v>68</v>
      </c>
    </row>
    <row r="294" spans="1:11" hidden="1" x14ac:dyDescent="0.25">
      <c r="A294" t="s">
        <v>5</v>
      </c>
      <c r="B294" t="s">
        <v>6</v>
      </c>
      <c r="C294" t="s">
        <v>43</v>
      </c>
      <c r="D294" t="s">
        <v>44</v>
      </c>
      <c r="E294">
        <v>2023</v>
      </c>
      <c r="F294" t="s">
        <v>57</v>
      </c>
      <c r="G294" t="s">
        <v>61</v>
      </c>
      <c r="J294" t="s">
        <v>67</v>
      </c>
      <c r="K294" t="s">
        <v>68</v>
      </c>
    </row>
    <row r="295" spans="1:11" hidden="1" x14ac:dyDescent="0.25">
      <c r="A295" t="s">
        <v>5</v>
      </c>
      <c r="B295" t="s">
        <v>6</v>
      </c>
      <c r="C295" t="s">
        <v>43</v>
      </c>
      <c r="D295" t="s">
        <v>44</v>
      </c>
      <c r="E295">
        <v>2024</v>
      </c>
      <c r="F295" t="s">
        <v>57</v>
      </c>
      <c r="G295" t="s">
        <v>61</v>
      </c>
      <c r="J295" t="s">
        <v>67</v>
      </c>
      <c r="K295" t="s">
        <v>68</v>
      </c>
    </row>
    <row r="296" spans="1:11" hidden="1" x14ac:dyDescent="0.25">
      <c r="A296" t="s">
        <v>5</v>
      </c>
      <c r="B296" t="s">
        <v>6</v>
      </c>
      <c r="C296" t="s">
        <v>41</v>
      </c>
      <c r="D296" t="s">
        <v>42</v>
      </c>
      <c r="E296">
        <v>2019</v>
      </c>
      <c r="F296" t="s">
        <v>65</v>
      </c>
      <c r="G296" t="s">
        <v>66</v>
      </c>
      <c r="J296" t="s">
        <v>67</v>
      </c>
      <c r="K296" t="s">
        <v>68</v>
      </c>
    </row>
    <row r="297" spans="1:11" hidden="1" x14ac:dyDescent="0.25">
      <c r="A297" t="s">
        <v>5</v>
      </c>
      <c r="B297" t="s">
        <v>6</v>
      </c>
      <c r="C297" t="s">
        <v>41</v>
      </c>
      <c r="D297" t="s">
        <v>42</v>
      </c>
      <c r="E297">
        <v>2020</v>
      </c>
      <c r="F297" t="s">
        <v>65</v>
      </c>
      <c r="G297" t="s">
        <v>66</v>
      </c>
      <c r="J297" t="s">
        <v>67</v>
      </c>
      <c r="K297" t="s">
        <v>68</v>
      </c>
    </row>
    <row r="298" spans="1:11" hidden="1" x14ac:dyDescent="0.25">
      <c r="A298" t="s">
        <v>5</v>
      </c>
      <c r="B298" t="s">
        <v>6</v>
      </c>
      <c r="C298" t="s">
        <v>41</v>
      </c>
      <c r="D298" t="s">
        <v>42</v>
      </c>
      <c r="E298">
        <v>2021</v>
      </c>
      <c r="F298" t="s">
        <v>65</v>
      </c>
      <c r="G298" t="s">
        <v>66</v>
      </c>
      <c r="J298" t="s">
        <v>67</v>
      </c>
      <c r="K298" t="s">
        <v>68</v>
      </c>
    </row>
    <row r="299" spans="1:11" hidden="1" x14ac:dyDescent="0.25">
      <c r="A299" t="s">
        <v>5</v>
      </c>
      <c r="B299" t="s">
        <v>6</v>
      </c>
      <c r="C299" t="s">
        <v>41</v>
      </c>
      <c r="D299" t="s">
        <v>42</v>
      </c>
      <c r="E299">
        <v>2022</v>
      </c>
      <c r="F299" t="s">
        <v>65</v>
      </c>
      <c r="G299" t="s">
        <v>66</v>
      </c>
      <c r="J299" t="s">
        <v>67</v>
      </c>
      <c r="K299" t="s">
        <v>68</v>
      </c>
    </row>
    <row r="300" spans="1:11" hidden="1" x14ac:dyDescent="0.25">
      <c r="A300" t="s">
        <v>5</v>
      </c>
      <c r="B300" t="s">
        <v>6</v>
      </c>
      <c r="C300" t="s">
        <v>41</v>
      </c>
      <c r="D300" t="s">
        <v>42</v>
      </c>
      <c r="E300">
        <v>2023</v>
      </c>
      <c r="F300" t="s">
        <v>65</v>
      </c>
      <c r="G300" t="s">
        <v>66</v>
      </c>
      <c r="J300" t="s">
        <v>67</v>
      </c>
      <c r="K300" t="s">
        <v>68</v>
      </c>
    </row>
    <row r="301" spans="1:11" hidden="1" x14ac:dyDescent="0.25">
      <c r="A301" t="s">
        <v>5</v>
      </c>
      <c r="B301" t="s">
        <v>6</v>
      </c>
      <c r="C301" t="s">
        <v>41</v>
      </c>
      <c r="D301" t="s">
        <v>42</v>
      </c>
      <c r="E301">
        <v>2024</v>
      </c>
      <c r="F301" t="s">
        <v>65</v>
      </c>
      <c r="G301" t="s">
        <v>66</v>
      </c>
      <c r="J301" t="s">
        <v>67</v>
      </c>
      <c r="K301" t="s">
        <v>68</v>
      </c>
    </row>
    <row r="302" spans="1:11" x14ac:dyDescent="0.25">
      <c r="A302" t="s">
        <v>81</v>
      </c>
      <c r="B302" t="s">
        <v>82</v>
      </c>
      <c r="C302" t="s">
        <v>9</v>
      </c>
      <c r="D302" t="s">
        <v>10</v>
      </c>
      <c r="E302">
        <v>2019</v>
      </c>
      <c r="F302" t="s">
        <v>57</v>
      </c>
      <c r="G302" t="s">
        <v>61</v>
      </c>
      <c r="H302">
        <v>72.738287465930398</v>
      </c>
      <c r="J302" t="s">
        <v>67</v>
      </c>
      <c r="K302" t="s">
        <v>68</v>
      </c>
    </row>
    <row r="303" spans="1:11" x14ac:dyDescent="0.25">
      <c r="A303" t="s">
        <v>81</v>
      </c>
      <c r="B303" t="s">
        <v>82</v>
      </c>
      <c r="C303" t="s">
        <v>9</v>
      </c>
      <c r="D303" t="s">
        <v>10</v>
      </c>
      <c r="E303">
        <v>2020</v>
      </c>
      <c r="F303" t="s">
        <v>57</v>
      </c>
      <c r="G303" t="s">
        <v>61</v>
      </c>
      <c r="H303">
        <v>74.781305427662303</v>
      </c>
      <c r="I303">
        <v>2.0430179617319055</v>
      </c>
      <c r="J303" t="s">
        <v>67</v>
      </c>
      <c r="K303" t="s">
        <v>68</v>
      </c>
    </row>
    <row r="304" spans="1:11" x14ac:dyDescent="0.25">
      <c r="A304" t="s">
        <v>81</v>
      </c>
      <c r="B304" t="s">
        <v>82</v>
      </c>
      <c r="C304" t="s">
        <v>9</v>
      </c>
      <c r="D304" t="s">
        <v>10</v>
      </c>
      <c r="E304">
        <v>2021</v>
      </c>
      <c r="F304" t="s">
        <v>57</v>
      </c>
      <c r="G304" t="s">
        <v>61</v>
      </c>
      <c r="H304">
        <v>75.797225000457104</v>
      </c>
      <c r="I304">
        <v>1.0159195727948003</v>
      </c>
      <c r="J304" t="s">
        <v>67</v>
      </c>
      <c r="K304" t="s">
        <v>68</v>
      </c>
    </row>
    <row r="305" spans="1:11" x14ac:dyDescent="0.25">
      <c r="A305" t="s">
        <v>81</v>
      </c>
      <c r="B305" t="s">
        <v>82</v>
      </c>
      <c r="C305" t="s">
        <v>9</v>
      </c>
      <c r="D305" t="s">
        <v>10</v>
      </c>
      <c r="E305">
        <v>2022</v>
      </c>
      <c r="F305" t="s">
        <v>57</v>
      </c>
      <c r="G305" t="s">
        <v>61</v>
      </c>
      <c r="H305">
        <v>75.316583948328002</v>
      </c>
      <c r="I305">
        <v>-0.48064105212910135</v>
      </c>
      <c r="J305" t="s">
        <v>67</v>
      </c>
      <c r="K305" t="s">
        <v>68</v>
      </c>
    </row>
    <row r="306" spans="1:11" x14ac:dyDescent="0.25">
      <c r="A306" t="s">
        <v>81</v>
      </c>
      <c r="B306" t="s">
        <v>82</v>
      </c>
      <c r="C306" t="s">
        <v>9</v>
      </c>
      <c r="D306" t="s">
        <v>10</v>
      </c>
      <c r="E306">
        <v>2023</v>
      </c>
      <c r="F306" t="s">
        <v>57</v>
      </c>
      <c r="G306" t="s">
        <v>61</v>
      </c>
      <c r="H306">
        <v>75.872491316883796</v>
      </c>
      <c r="I306">
        <v>0.55590736855579337</v>
      </c>
      <c r="J306" t="s">
        <v>67</v>
      </c>
      <c r="K306" t="s">
        <v>68</v>
      </c>
    </row>
    <row r="307" spans="1:11" x14ac:dyDescent="0.25">
      <c r="A307" t="s">
        <v>81</v>
      </c>
      <c r="B307" t="s">
        <v>82</v>
      </c>
      <c r="C307" t="s">
        <v>9</v>
      </c>
      <c r="D307" t="s">
        <v>10</v>
      </c>
      <c r="E307">
        <v>2024</v>
      </c>
      <c r="F307" t="s">
        <v>57</v>
      </c>
      <c r="G307" t="s">
        <v>61</v>
      </c>
      <c r="H307">
        <v>74.310542980306906</v>
      </c>
      <c r="I307">
        <v>-1.56194833657689</v>
      </c>
      <c r="J307" t="s">
        <v>67</v>
      </c>
      <c r="K307" t="s">
        <v>68</v>
      </c>
    </row>
    <row r="308" spans="1:11" x14ac:dyDescent="0.25">
      <c r="A308" t="s">
        <v>81</v>
      </c>
      <c r="B308" t="s">
        <v>82</v>
      </c>
      <c r="C308" t="s">
        <v>11</v>
      </c>
      <c r="D308" t="s">
        <v>12</v>
      </c>
      <c r="E308">
        <v>2019</v>
      </c>
      <c r="F308" t="s">
        <v>57</v>
      </c>
      <c r="G308" t="s">
        <v>61</v>
      </c>
      <c r="H308">
        <v>135.67200199232701</v>
      </c>
      <c r="J308" t="s">
        <v>67</v>
      </c>
      <c r="K308" t="s">
        <v>68</v>
      </c>
    </row>
    <row r="309" spans="1:11" x14ac:dyDescent="0.25">
      <c r="A309" t="s">
        <v>81</v>
      </c>
      <c r="B309" t="s">
        <v>82</v>
      </c>
      <c r="C309" t="s">
        <v>11</v>
      </c>
      <c r="D309" t="s">
        <v>12</v>
      </c>
      <c r="E309">
        <v>2020</v>
      </c>
      <c r="F309" t="s">
        <v>57</v>
      </c>
      <c r="G309" t="s">
        <v>61</v>
      </c>
      <c r="H309">
        <v>128.71477386326501</v>
      </c>
      <c r="I309">
        <v>-6.9572281290620026</v>
      </c>
      <c r="J309" t="s">
        <v>67</v>
      </c>
      <c r="K309" t="s">
        <v>68</v>
      </c>
    </row>
    <row r="310" spans="1:11" x14ac:dyDescent="0.25">
      <c r="A310" t="s">
        <v>81</v>
      </c>
      <c r="B310" t="s">
        <v>82</v>
      </c>
      <c r="C310" t="s">
        <v>11</v>
      </c>
      <c r="D310" t="s">
        <v>12</v>
      </c>
      <c r="E310">
        <v>2021</v>
      </c>
      <c r="F310" t="s">
        <v>57</v>
      </c>
      <c r="G310" t="s">
        <v>61</v>
      </c>
      <c r="H310">
        <v>122.477267993797</v>
      </c>
      <c r="I310">
        <v>-6.2375058694680092</v>
      </c>
      <c r="J310" t="s">
        <v>67</v>
      </c>
      <c r="K310" t="s">
        <v>68</v>
      </c>
    </row>
    <row r="311" spans="1:11" x14ac:dyDescent="0.25">
      <c r="A311" t="s">
        <v>81</v>
      </c>
      <c r="B311" t="s">
        <v>82</v>
      </c>
      <c r="C311" t="s">
        <v>11</v>
      </c>
      <c r="D311" t="s">
        <v>12</v>
      </c>
      <c r="E311">
        <v>2022</v>
      </c>
      <c r="F311" t="s">
        <v>57</v>
      </c>
      <c r="G311" t="s">
        <v>61</v>
      </c>
      <c r="H311">
        <v>117.65103007296599</v>
      </c>
      <c r="I311">
        <v>-4.8262379208310051</v>
      </c>
      <c r="J311" t="s">
        <v>67</v>
      </c>
      <c r="K311" t="s">
        <v>68</v>
      </c>
    </row>
    <row r="312" spans="1:11" x14ac:dyDescent="0.25">
      <c r="A312" t="s">
        <v>81</v>
      </c>
      <c r="B312" t="s">
        <v>82</v>
      </c>
      <c r="C312" t="s">
        <v>11</v>
      </c>
      <c r="D312" t="s">
        <v>12</v>
      </c>
      <c r="E312">
        <v>2023</v>
      </c>
      <c r="F312" t="s">
        <v>57</v>
      </c>
      <c r="G312" t="s">
        <v>61</v>
      </c>
      <c r="H312">
        <v>111.437590692375</v>
      </c>
      <c r="I312">
        <v>-6.213439380590998</v>
      </c>
      <c r="J312" t="s">
        <v>67</v>
      </c>
      <c r="K312" t="s">
        <v>68</v>
      </c>
    </row>
    <row r="313" spans="1:11" x14ac:dyDescent="0.25">
      <c r="A313" t="s">
        <v>81</v>
      </c>
      <c r="B313" t="s">
        <v>82</v>
      </c>
      <c r="C313" t="s">
        <v>11</v>
      </c>
      <c r="D313" t="s">
        <v>12</v>
      </c>
      <c r="E313">
        <v>2024</v>
      </c>
      <c r="F313" t="s">
        <v>57</v>
      </c>
      <c r="G313" t="s">
        <v>61</v>
      </c>
      <c r="H313">
        <v>105.221393543223</v>
      </c>
      <c r="I313">
        <v>-6.2161971491519949</v>
      </c>
      <c r="J313" t="s">
        <v>67</v>
      </c>
      <c r="K313" t="s">
        <v>68</v>
      </c>
    </row>
    <row r="314" spans="1:11" x14ac:dyDescent="0.25">
      <c r="A314" t="s">
        <v>81</v>
      </c>
      <c r="B314" t="s">
        <v>82</v>
      </c>
      <c r="C314" t="s">
        <v>47</v>
      </c>
      <c r="D314" t="s">
        <v>48</v>
      </c>
      <c r="E314">
        <v>2019</v>
      </c>
      <c r="F314" t="s">
        <v>57</v>
      </c>
      <c r="G314" t="s">
        <v>61</v>
      </c>
      <c r="H314">
        <v>43.441072817360201</v>
      </c>
      <c r="J314" t="s">
        <v>67</v>
      </c>
      <c r="K314" t="s">
        <v>68</v>
      </c>
    </row>
    <row r="315" spans="1:11" x14ac:dyDescent="0.25">
      <c r="A315" t="s">
        <v>81</v>
      </c>
      <c r="B315" t="s">
        <v>82</v>
      </c>
      <c r="C315" t="s">
        <v>47</v>
      </c>
      <c r="D315" t="s">
        <v>48</v>
      </c>
      <c r="E315">
        <v>2020</v>
      </c>
      <c r="F315" t="s">
        <v>57</v>
      </c>
      <c r="G315" t="s">
        <v>61</v>
      </c>
      <c r="H315">
        <v>42.821468394788504</v>
      </c>
      <c r="I315">
        <v>-0.61960442257169746</v>
      </c>
      <c r="J315" t="s">
        <v>67</v>
      </c>
      <c r="K315" t="s">
        <v>68</v>
      </c>
    </row>
    <row r="316" spans="1:11" x14ac:dyDescent="0.25">
      <c r="A316" t="s">
        <v>81</v>
      </c>
      <c r="B316" t="s">
        <v>82</v>
      </c>
      <c r="C316" t="s">
        <v>47</v>
      </c>
      <c r="D316" t="s">
        <v>48</v>
      </c>
      <c r="E316">
        <v>2021</v>
      </c>
      <c r="F316" t="s">
        <v>57</v>
      </c>
      <c r="G316" t="s">
        <v>61</v>
      </c>
      <c r="H316">
        <v>37.968761839499997</v>
      </c>
      <c r="I316">
        <v>-4.8527065552885063</v>
      </c>
      <c r="J316" t="s">
        <v>67</v>
      </c>
      <c r="K316" t="s">
        <v>68</v>
      </c>
    </row>
    <row r="317" spans="1:11" x14ac:dyDescent="0.25">
      <c r="A317" t="s">
        <v>81</v>
      </c>
      <c r="B317" t="s">
        <v>82</v>
      </c>
      <c r="C317" t="s">
        <v>47</v>
      </c>
      <c r="D317" t="s">
        <v>48</v>
      </c>
      <c r="E317">
        <v>2022</v>
      </c>
      <c r="F317" t="s">
        <v>57</v>
      </c>
      <c r="G317" t="s">
        <v>61</v>
      </c>
      <c r="H317">
        <v>38.580090565952098</v>
      </c>
      <c r="I317">
        <v>0.61132872645210057</v>
      </c>
      <c r="J317" t="s">
        <v>67</v>
      </c>
      <c r="K317" t="s">
        <v>68</v>
      </c>
    </row>
    <row r="318" spans="1:11" x14ac:dyDescent="0.25">
      <c r="A318" t="s">
        <v>81</v>
      </c>
      <c r="B318" t="s">
        <v>82</v>
      </c>
      <c r="C318" t="s">
        <v>47</v>
      </c>
      <c r="D318" t="s">
        <v>48</v>
      </c>
      <c r="E318">
        <v>2023</v>
      </c>
      <c r="F318" t="s">
        <v>57</v>
      </c>
      <c r="G318" t="s">
        <v>61</v>
      </c>
      <c r="H318">
        <v>36.319631543600003</v>
      </c>
      <c r="I318">
        <v>-2.2604590223520944</v>
      </c>
      <c r="J318" t="s">
        <v>67</v>
      </c>
      <c r="K318" t="s">
        <v>68</v>
      </c>
    </row>
    <row r="319" spans="1:11" x14ac:dyDescent="0.25">
      <c r="A319" t="s">
        <v>81</v>
      </c>
      <c r="B319" t="s">
        <v>82</v>
      </c>
      <c r="C319" t="s">
        <v>47</v>
      </c>
      <c r="D319" t="s">
        <v>48</v>
      </c>
      <c r="E319">
        <v>2024</v>
      </c>
      <c r="F319" t="s">
        <v>57</v>
      </c>
      <c r="G319" t="s">
        <v>61</v>
      </c>
      <c r="H319">
        <v>33.608968173701001</v>
      </c>
      <c r="I319">
        <v>-2.7106633698990024</v>
      </c>
      <c r="J319" t="s">
        <v>67</v>
      </c>
      <c r="K319" t="s">
        <v>68</v>
      </c>
    </row>
    <row r="320" spans="1:11" x14ac:dyDescent="0.25">
      <c r="A320" t="s">
        <v>81</v>
      </c>
      <c r="B320" t="s">
        <v>82</v>
      </c>
      <c r="C320" t="s">
        <v>13</v>
      </c>
      <c r="D320" t="s">
        <v>14</v>
      </c>
      <c r="E320">
        <v>2019</v>
      </c>
      <c r="F320" t="s">
        <v>57</v>
      </c>
      <c r="G320" t="s">
        <v>61</v>
      </c>
      <c r="H320">
        <v>117.68518502235101</v>
      </c>
      <c r="J320" t="s">
        <v>67</v>
      </c>
      <c r="K320" t="s">
        <v>68</v>
      </c>
    </row>
    <row r="321" spans="1:11" x14ac:dyDescent="0.25">
      <c r="A321" t="s">
        <v>81</v>
      </c>
      <c r="B321" t="s">
        <v>82</v>
      </c>
      <c r="C321" t="s">
        <v>13</v>
      </c>
      <c r="D321" t="s">
        <v>14</v>
      </c>
      <c r="E321">
        <v>2020</v>
      </c>
      <c r="F321" t="s">
        <v>57</v>
      </c>
      <c r="G321" t="s">
        <v>61</v>
      </c>
      <c r="H321">
        <v>116.055214455003</v>
      </c>
      <c r="I321">
        <v>-1.6299705673480105</v>
      </c>
      <c r="J321" t="s">
        <v>67</v>
      </c>
      <c r="K321" t="s">
        <v>68</v>
      </c>
    </row>
    <row r="322" spans="1:11" x14ac:dyDescent="0.25">
      <c r="A322" t="s">
        <v>81</v>
      </c>
      <c r="B322" t="s">
        <v>82</v>
      </c>
      <c r="C322" t="s">
        <v>13</v>
      </c>
      <c r="D322" t="s">
        <v>14</v>
      </c>
      <c r="E322">
        <v>2021</v>
      </c>
      <c r="F322" t="s">
        <v>57</v>
      </c>
      <c r="G322" t="s">
        <v>61</v>
      </c>
      <c r="H322">
        <v>111.94089676182701</v>
      </c>
      <c r="I322">
        <v>-4.1143176931759911</v>
      </c>
      <c r="J322" t="s">
        <v>67</v>
      </c>
      <c r="K322" t="s">
        <v>68</v>
      </c>
    </row>
    <row r="323" spans="1:11" x14ac:dyDescent="0.25">
      <c r="A323" t="s">
        <v>81</v>
      </c>
      <c r="B323" t="s">
        <v>82</v>
      </c>
      <c r="C323" t="s">
        <v>13</v>
      </c>
      <c r="D323" t="s">
        <v>14</v>
      </c>
      <c r="E323">
        <v>2022</v>
      </c>
      <c r="F323" t="s">
        <v>57</v>
      </c>
      <c r="G323" t="s">
        <v>61</v>
      </c>
      <c r="H323">
        <v>113.45416551344201</v>
      </c>
      <c r="I323">
        <v>1.5132687516150014</v>
      </c>
      <c r="J323" t="s">
        <v>67</v>
      </c>
      <c r="K323" t="s">
        <v>68</v>
      </c>
    </row>
    <row r="324" spans="1:11" x14ac:dyDescent="0.25">
      <c r="A324" t="s">
        <v>81</v>
      </c>
      <c r="B324" t="s">
        <v>82</v>
      </c>
      <c r="C324" t="s">
        <v>13</v>
      </c>
      <c r="D324" t="s">
        <v>14</v>
      </c>
      <c r="E324">
        <v>2023</v>
      </c>
      <c r="F324" t="s">
        <v>57</v>
      </c>
      <c r="G324" t="s">
        <v>61</v>
      </c>
      <c r="H324">
        <v>100.66501424259801</v>
      </c>
      <c r="I324">
        <v>-12.789151270844002</v>
      </c>
      <c r="J324" t="s">
        <v>67</v>
      </c>
      <c r="K324" t="s">
        <v>68</v>
      </c>
    </row>
    <row r="325" spans="1:11" x14ac:dyDescent="0.25">
      <c r="A325" t="s">
        <v>81</v>
      </c>
      <c r="B325" t="s">
        <v>82</v>
      </c>
      <c r="C325" t="s">
        <v>13</v>
      </c>
      <c r="D325" t="s">
        <v>14</v>
      </c>
      <c r="E325">
        <v>2024</v>
      </c>
      <c r="F325" t="s">
        <v>57</v>
      </c>
      <c r="G325" t="s">
        <v>61</v>
      </c>
      <c r="H325">
        <v>89.903189473198594</v>
      </c>
      <c r="I325">
        <v>-10.761824769399411</v>
      </c>
      <c r="J325" t="s">
        <v>67</v>
      </c>
      <c r="K325" t="s">
        <v>68</v>
      </c>
    </row>
    <row r="326" spans="1:11" x14ac:dyDescent="0.25">
      <c r="A326" t="s">
        <v>81</v>
      </c>
      <c r="B326" t="s">
        <v>82</v>
      </c>
      <c r="C326" t="s">
        <v>15</v>
      </c>
      <c r="D326" t="s">
        <v>16</v>
      </c>
      <c r="E326">
        <v>2019</v>
      </c>
      <c r="F326" t="s">
        <v>57</v>
      </c>
      <c r="G326" t="s">
        <v>61</v>
      </c>
      <c r="H326">
        <v>214.32802122144801</v>
      </c>
      <c r="J326" t="s">
        <v>67</v>
      </c>
      <c r="K326" t="s">
        <v>68</v>
      </c>
    </row>
    <row r="327" spans="1:11" x14ac:dyDescent="0.25">
      <c r="A327" t="s">
        <v>81</v>
      </c>
      <c r="B327" t="s">
        <v>82</v>
      </c>
      <c r="C327" t="s">
        <v>15</v>
      </c>
      <c r="D327" t="s">
        <v>16</v>
      </c>
      <c r="E327">
        <v>2020</v>
      </c>
      <c r="F327" t="s">
        <v>57</v>
      </c>
      <c r="G327" t="s">
        <v>61</v>
      </c>
      <c r="H327">
        <v>210.35540639182801</v>
      </c>
      <c r="I327">
        <v>-3.9726148296199995</v>
      </c>
      <c r="J327" t="s">
        <v>67</v>
      </c>
      <c r="K327" t="s">
        <v>68</v>
      </c>
    </row>
    <row r="328" spans="1:11" x14ac:dyDescent="0.25">
      <c r="A328" t="s">
        <v>81</v>
      </c>
      <c r="B328" t="s">
        <v>82</v>
      </c>
      <c r="C328" t="s">
        <v>15</v>
      </c>
      <c r="D328" t="s">
        <v>16</v>
      </c>
      <c r="E328">
        <v>2021</v>
      </c>
      <c r="F328" t="s">
        <v>57</v>
      </c>
      <c r="G328" t="s">
        <v>61</v>
      </c>
      <c r="H328">
        <v>212.45368675986299</v>
      </c>
      <c r="I328">
        <v>2.0982803680349775</v>
      </c>
      <c r="J328" t="s">
        <v>67</v>
      </c>
      <c r="K328" t="s">
        <v>68</v>
      </c>
    </row>
    <row r="329" spans="1:11" x14ac:dyDescent="0.25">
      <c r="A329" t="s">
        <v>81</v>
      </c>
      <c r="B329" t="s">
        <v>82</v>
      </c>
      <c r="C329" t="s">
        <v>15</v>
      </c>
      <c r="D329" t="s">
        <v>16</v>
      </c>
      <c r="E329">
        <v>2022</v>
      </c>
      <c r="F329" t="s">
        <v>57</v>
      </c>
      <c r="G329" t="s">
        <v>61</v>
      </c>
      <c r="H329">
        <v>205.96850357877301</v>
      </c>
      <c r="I329">
        <v>-6.4851831810899796</v>
      </c>
      <c r="J329" t="s">
        <v>67</v>
      </c>
      <c r="K329" t="s">
        <v>68</v>
      </c>
    </row>
    <row r="330" spans="1:11" x14ac:dyDescent="0.25">
      <c r="A330" t="s">
        <v>81</v>
      </c>
      <c r="B330" t="s">
        <v>82</v>
      </c>
      <c r="C330" t="s">
        <v>15</v>
      </c>
      <c r="D330" t="s">
        <v>16</v>
      </c>
      <c r="E330">
        <v>2023</v>
      </c>
      <c r="F330" t="s">
        <v>57</v>
      </c>
      <c r="G330" t="s">
        <v>61</v>
      </c>
      <c r="H330">
        <v>188.37141293110901</v>
      </c>
      <c r="I330">
        <v>-17.597090647664004</v>
      </c>
      <c r="J330" t="s">
        <v>67</v>
      </c>
      <c r="K330" t="s">
        <v>68</v>
      </c>
    </row>
    <row r="331" spans="1:11" x14ac:dyDescent="0.25">
      <c r="A331" t="s">
        <v>81</v>
      </c>
      <c r="B331" t="s">
        <v>82</v>
      </c>
      <c r="C331" t="s">
        <v>15</v>
      </c>
      <c r="D331" t="s">
        <v>16</v>
      </c>
      <c r="E331">
        <v>2024</v>
      </c>
      <c r="F331" t="s">
        <v>57</v>
      </c>
      <c r="G331" t="s">
        <v>61</v>
      </c>
      <c r="H331">
        <v>173.81495071633799</v>
      </c>
      <c r="I331">
        <v>-14.556462214771017</v>
      </c>
      <c r="J331" t="s">
        <v>67</v>
      </c>
      <c r="K331" t="s">
        <v>68</v>
      </c>
    </row>
    <row r="332" spans="1:11" x14ac:dyDescent="0.25">
      <c r="A332" t="s">
        <v>81</v>
      </c>
      <c r="B332" t="s">
        <v>82</v>
      </c>
      <c r="C332" t="s">
        <v>17</v>
      </c>
      <c r="D332" t="s">
        <v>18</v>
      </c>
      <c r="E332">
        <v>2019</v>
      </c>
      <c r="F332" t="s">
        <v>57</v>
      </c>
      <c r="G332" t="s">
        <v>61</v>
      </c>
      <c r="H332">
        <v>95.321971063219394</v>
      </c>
      <c r="J332" t="s">
        <v>67</v>
      </c>
      <c r="K332" t="s">
        <v>68</v>
      </c>
    </row>
    <row r="333" spans="1:11" x14ac:dyDescent="0.25">
      <c r="A333" t="s">
        <v>81</v>
      </c>
      <c r="B333" t="s">
        <v>82</v>
      </c>
      <c r="C333" t="s">
        <v>17</v>
      </c>
      <c r="D333" t="s">
        <v>18</v>
      </c>
      <c r="E333">
        <v>2020</v>
      </c>
      <c r="F333" t="s">
        <v>57</v>
      </c>
      <c r="G333" t="s">
        <v>61</v>
      </c>
      <c r="H333">
        <v>87.575849893607796</v>
      </c>
      <c r="I333">
        <v>-7.7461211696115981</v>
      </c>
      <c r="J333" t="s">
        <v>67</v>
      </c>
      <c r="K333" t="s">
        <v>68</v>
      </c>
    </row>
    <row r="334" spans="1:11" x14ac:dyDescent="0.25">
      <c r="A334" t="s">
        <v>81</v>
      </c>
      <c r="B334" t="s">
        <v>82</v>
      </c>
      <c r="C334" t="s">
        <v>17</v>
      </c>
      <c r="D334" t="s">
        <v>18</v>
      </c>
      <c r="E334">
        <v>2021</v>
      </c>
      <c r="F334" t="s">
        <v>57</v>
      </c>
      <c r="G334" t="s">
        <v>61</v>
      </c>
      <c r="H334">
        <v>81.423251635406302</v>
      </c>
      <c r="I334">
        <v>-6.1525982582014933</v>
      </c>
      <c r="J334" t="s">
        <v>67</v>
      </c>
      <c r="K334" t="s">
        <v>68</v>
      </c>
    </row>
    <row r="335" spans="1:11" x14ac:dyDescent="0.25">
      <c r="A335" t="s">
        <v>81</v>
      </c>
      <c r="B335" t="s">
        <v>82</v>
      </c>
      <c r="C335" t="s">
        <v>17</v>
      </c>
      <c r="D335" t="s">
        <v>18</v>
      </c>
      <c r="E335">
        <v>2022</v>
      </c>
      <c r="F335" t="s">
        <v>57</v>
      </c>
      <c r="G335" t="s">
        <v>61</v>
      </c>
      <c r="H335">
        <v>76.555986760188901</v>
      </c>
      <c r="I335">
        <v>-4.8672648752174013</v>
      </c>
      <c r="J335" t="s">
        <v>67</v>
      </c>
      <c r="K335" t="s">
        <v>68</v>
      </c>
    </row>
    <row r="336" spans="1:11" x14ac:dyDescent="0.25">
      <c r="A336" t="s">
        <v>81</v>
      </c>
      <c r="B336" t="s">
        <v>82</v>
      </c>
      <c r="C336" t="s">
        <v>17</v>
      </c>
      <c r="D336" t="s">
        <v>18</v>
      </c>
      <c r="E336">
        <v>2023</v>
      </c>
      <c r="F336" t="s">
        <v>57</v>
      </c>
      <c r="G336" t="s">
        <v>61</v>
      </c>
      <c r="H336">
        <v>71.854791933949997</v>
      </c>
      <c r="I336">
        <v>-4.7011948262389041</v>
      </c>
      <c r="J336" t="s">
        <v>67</v>
      </c>
      <c r="K336" t="s">
        <v>68</v>
      </c>
    </row>
    <row r="337" spans="1:11" x14ac:dyDescent="0.25">
      <c r="A337" t="s">
        <v>81</v>
      </c>
      <c r="B337" t="s">
        <v>82</v>
      </c>
      <c r="C337" t="s">
        <v>17</v>
      </c>
      <c r="D337" t="s">
        <v>18</v>
      </c>
      <c r="E337">
        <v>2024</v>
      </c>
      <c r="F337" t="s">
        <v>57</v>
      </c>
      <c r="G337" t="s">
        <v>61</v>
      </c>
      <c r="H337">
        <v>67.828327026507196</v>
      </c>
      <c r="I337">
        <v>-4.0264649074428007</v>
      </c>
      <c r="J337" t="s">
        <v>67</v>
      </c>
      <c r="K337" t="s">
        <v>68</v>
      </c>
    </row>
    <row r="338" spans="1:11" x14ac:dyDescent="0.25">
      <c r="A338" t="s">
        <v>81</v>
      </c>
      <c r="B338" t="s">
        <v>82</v>
      </c>
      <c r="C338" t="s">
        <v>19</v>
      </c>
      <c r="D338" t="s">
        <v>20</v>
      </c>
      <c r="E338">
        <v>2019</v>
      </c>
      <c r="F338" t="s">
        <v>57</v>
      </c>
      <c r="G338" t="s">
        <v>61</v>
      </c>
      <c r="H338">
        <v>95.826627871052196</v>
      </c>
      <c r="J338" t="s">
        <v>67</v>
      </c>
      <c r="K338" t="s">
        <v>68</v>
      </c>
    </row>
    <row r="339" spans="1:11" x14ac:dyDescent="0.25">
      <c r="A339" t="s">
        <v>81</v>
      </c>
      <c r="B339" t="s">
        <v>82</v>
      </c>
      <c r="C339" t="s">
        <v>19</v>
      </c>
      <c r="D339" t="s">
        <v>20</v>
      </c>
      <c r="E339">
        <v>2020</v>
      </c>
      <c r="F339" t="s">
        <v>57</v>
      </c>
      <c r="G339" t="s">
        <v>61</v>
      </c>
      <c r="H339">
        <v>92.990674701634305</v>
      </c>
      <c r="I339">
        <v>-2.8359531694178912</v>
      </c>
      <c r="J339" t="s">
        <v>67</v>
      </c>
      <c r="K339" t="s">
        <v>68</v>
      </c>
    </row>
    <row r="340" spans="1:11" x14ac:dyDescent="0.25">
      <c r="A340" t="s">
        <v>81</v>
      </c>
      <c r="B340" t="s">
        <v>82</v>
      </c>
      <c r="C340" t="s">
        <v>19</v>
      </c>
      <c r="D340" t="s">
        <v>20</v>
      </c>
      <c r="E340">
        <v>2021</v>
      </c>
      <c r="F340" t="s">
        <v>57</v>
      </c>
      <c r="G340" t="s">
        <v>61</v>
      </c>
      <c r="H340">
        <v>89.034863293091902</v>
      </c>
      <c r="I340">
        <v>-3.9558114085424023</v>
      </c>
      <c r="J340" t="s">
        <v>67</v>
      </c>
      <c r="K340" t="s">
        <v>68</v>
      </c>
    </row>
    <row r="341" spans="1:11" x14ac:dyDescent="0.25">
      <c r="A341" t="s">
        <v>81</v>
      </c>
      <c r="B341" t="s">
        <v>82</v>
      </c>
      <c r="C341" t="s">
        <v>19</v>
      </c>
      <c r="D341" t="s">
        <v>20</v>
      </c>
      <c r="E341">
        <v>2022</v>
      </c>
      <c r="F341" t="s">
        <v>57</v>
      </c>
      <c r="G341" t="s">
        <v>61</v>
      </c>
      <c r="H341">
        <v>84.288693734198006</v>
      </c>
      <c r="I341">
        <v>-4.7461695588938966</v>
      </c>
      <c r="J341" t="s">
        <v>67</v>
      </c>
      <c r="K341" t="s">
        <v>68</v>
      </c>
    </row>
    <row r="342" spans="1:11" x14ac:dyDescent="0.25">
      <c r="A342" t="s">
        <v>81</v>
      </c>
      <c r="B342" t="s">
        <v>82</v>
      </c>
      <c r="C342" t="s">
        <v>19</v>
      </c>
      <c r="D342" t="s">
        <v>20</v>
      </c>
      <c r="E342">
        <v>2023</v>
      </c>
      <c r="F342" t="s">
        <v>57</v>
      </c>
      <c r="G342" t="s">
        <v>61</v>
      </c>
      <c r="H342">
        <v>77.646364355885893</v>
      </c>
      <c r="I342">
        <v>-6.6423293783121125</v>
      </c>
      <c r="J342" t="s">
        <v>67</v>
      </c>
      <c r="K342" t="s">
        <v>68</v>
      </c>
    </row>
    <row r="343" spans="1:11" x14ac:dyDescent="0.25">
      <c r="A343" t="s">
        <v>81</v>
      </c>
      <c r="B343" t="s">
        <v>82</v>
      </c>
      <c r="C343" t="s">
        <v>19</v>
      </c>
      <c r="D343" t="s">
        <v>20</v>
      </c>
      <c r="E343">
        <v>2024</v>
      </c>
      <c r="F343" t="s">
        <v>57</v>
      </c>
      <c r="G343" t="s">
        <v>61</v>
      </c>
      <c r="J343" t="s">
        <v>67</v>
      </c>
      <c r="K343" t="s">
        <v>68</v>
      </c>
    </row>
    <row r="344" spans="1:11" x14ac:dyDescent="0.25">
      <c r="A344" t="s">
        <v>81</v>
      </c>
      <c r="B344" t="s">
        <v>82</v>
      </c>
      <c r="C344" t="s">
        <v>21</v>
      </c>
      <c r="D344" t="s">
        <v>22</v>
      </c>
      <c r="E344">
        <v>2019</v>
      </c>
      <c r="F344" t="s">
        <v>57</v>
      </c>
      <c r="G344" t="s">
        <v>61</v>
      </c>
      <c r="H344">
        <v>81.354547926086198</v>
      </c>
      <c r="J344" t="s">
        <v>67</v>
      </c>
      <c r="K344" t="s">
        <v>68</v>
      </c>
    </row>
    <row r="345" spans="1:11" x14ac:dyDescent="0.25">
      <c r="A345" t="s">
        <v>81</v>
      </c>
      <c r="B345" t="s">
        <v>82</v>
      </c>
      <c r="C345" t="s">
        <v>21</v>
      </c>
      <c r="D345" t="s">
        <v>22</v>
      </c>
      <c r="E345">
        <v>2020</v>
      </c>
      <c r="F345" t="s">
        <v>57</v>
      </c>
      <c r="G345" t="s">
        <v>61</v>
      </c>
      <c r="H345">
        <v>79.425241300132598</v>
      </c>
      <c r="I345">
        <v>-1.9293066259536005</v>
      </c>
      <c r="J345" t="s">
        <v>67</v>
      </c>
      <c r="K345" t="s">
        <v>68</v>
      </c>
    </row>
    <row r="346" spans="1:11" x14ac:dyDescent="0.25">
      <c r="A346" t="s">
        <v>81</v>
      </c>
      <c r="B346" t="s">
        <v>82</v>
      </c>
      <c r="C346" t="s">
        <v>21</v>
      </c>
      <c r="D346" t="s">
        <v>22</v>
      </c>
      <c r="E346">
        <v>2021</v>
      </c>
      <c r="F346" t="s">
        <v>57</v>
      </c>
      <c r="G346" t="s">
        <v>61</v>
      </c>
      <c r="H346">
        <v>76.988022603209004</v>
      </c>
      <c r="I346">
        <v>-2.4372186969235941</v>
      </c>
      <c r="J346" t="s">
        <v>67</v>
      </c>
      <c r="K346" t="s">
        <v>68</v>
      </c>
    </row>
    <row r="347" spans="1:11" x14ac:dyDescent="0.25">
      <c r="A347" t="s">
        <v>81</v>
      </c>
      <c r="B347" t="s">
        <v>82</v>
      </c>
      <c r="C347" t="s">
        <v>21</v>
      </c>
      <c r="D347" t="s">
        <v>22</v>
      </c>
      <c r="E347">
        <v>2022</v>
      </c>
      <c r="F347" t="s">
        <v>57</v>
      </c>
      <c r="G347" t="s">
        <v>61</v>
      </c>
      <c r="H347">
        <v>72.986297894104297</v>
      </c>
      <c r="I347">
        <v>-4.0017247091047068</v>
      </c>
      <c r="J347" t="s">
        <v>67</v>
      </c>
      <c r="K347" t="s">
        <v>68</v>
      </c>
    </row>
    <row r="348" spans="1:11" x14ac:dyDescent="0.25">
      <c r="A348" t="s">
        <v>81</v>
      </c>
      <c r="B348" t="s">
        <v>82</v>
      </c>
      <c r="C348" t="s">
        <v>21</v>
      </c>
      <c r="D348" t="s">
        <v>22</v>
      </c>
      <c r="E348">
        <v>2023</v>
      </c>
      <c r="F348" t="s">
        <v>57</v>
      </c>
      <c r="G348" t="s">
        <v>61</v>
      </c>
      <c r="H348">
        <v>70.921341663868006</v>
      </c>
      <c r="I348">
        <v>-2.0649562302362909</v>
      </c>
      <c r="J348" t="s">
        <v>67</v>
      </c>
      <c r="K348" t="s">
        <v>68</v>
      </c>
    </row>
    <row r="349" spans="1:11" x14ac:dyDescent="0.25">
      <c r="A349" t="s">
        <v>81</v>
      </c>
      <c r="B349" t="s">
        <v>82</v>
      </c>
      <c r="C349" t="s">
        <v>21</v>
      </c>
      <c r="D349" t="s">
        <v>22</v>
      </c>
      <c r="E349">
        <v>2024</v>
      </c>
      <c r="F349" t="s">
        <v>57</v>
      </c>
      <c r="G349" t="s">
        <v>61</v>
      </c>
      <c r="J349" t="s">
        <v>67</v>
      </c>
      <c r="K349" t="s">
        <v>68</v>
      </c>
    </row>
    <row r="350" spans="1:11" x14ac:dyDescent="0.25">
      <c r="A350" t="s">
        <v>81</v>
      </c>
      <c r="B350" t="s">
        <v>82</v>
      </c>
      <c r="C350" t="s">
        <v>23</v>
      </c>
      <c r="D350" t="s">
        <v>24</v>
      </c>
      <c r="E350">
        <v>2019</v>
      </c>
      <c r="F350" t="s">
        <v>57</v>
      </c>
      <c r="G350" t="s">
        <v>61</v>
      </c>
      <c r="H350">
        <v>20.6722044853976</v>
      </c>
      <c r="J350" t="s">
        <v>67</v>
      </c>
      <c r="K350" t="s">
        <v>68</v>
      </c>
    </row>
    <row r="351" spans="1:11" x14ac:dyDescent="0.25">
      <c r="A351" t="s">
        <v>81</v>
      </c>
      <c r="B351" t="s">
        <v>82</v>
      </c>
      <c r="C351" t="s">
        <v>23</v>
      </c>
      <c r="D351" t="s">
        <v>24</v>
      </c>
      <c r="E351">
        <v>2020</v>
      </c>
      <c r="F351" t="s">
        <v>57</v>
      </c>
      <c r="G351" t="s">
        <v>61</v>
      </c>
      <c r="H351">
        <v>21.2030322929363</v>
      </c>
      <c r="I351">
        <v>0.5308278075386994</v>
      </c>
      <c r="J351" t="s">
        <v>67</v>
      </c>
      <c r="K351" t="s">
        <v>68</v>
      </c>
    </row>
    <row r="352" spans="1:11" x14ac:dyDescent="0.25">
      <c r="A352" t="s">
        <v>81</v>
      </c>
      <c r="B352" t="s">
        <v>82</v>
      </c>
      <c r="C352" t="s">
        <v>23</v>
      </c>
      <c r="D352" t="s">
        <v>24</v>
      </c>
      <c r="E352">
        <v>2021</v>
      </c>
      <c r="F352" t="s">
        <v>57</v>
      </c>
      <c r="G352" t="s">
        <v>61</v>
      </c>
      <c r="H352">
        <v>21.168540946450499</v>
      </c>
      <c r="I352">
        <v>-3.4491346485800989E-2</v>
      </c>
      <c r="J352" t="s">
        <v>67</v>
      </c>
      <c r="K352" t="s">
        <v>68</v>
      </c>
    </row>
    <row r="353" spans="1:11" x14ac:dyDescent="0.25">
      <c r="A353" t="s">
        <v>81</v>
      </c>
      <c r="B353" t="s">
        <v>82</v>
      </c>
      <c r="C353" t="s">
        <v>23</v>
      </c>
      <c r="D353" t="s">
        <v>24</v>
      </c>
      <c r="E353">
        <v>2022</v>
      </c>
      <c r="F353" t="s">
        <v>57</v>
      </c>
      <c r="G353" t="s">
        <v>61</v>
      </c>
      <c r="H353">
        <v>24.561639423228701</v>
      </c>
      <c r="I353">
        <v>3.3930984767782029</v>
      </c>
      <c r="J353" t="s">
        <v>67</v>
      </c>
      <c r="K353" t="s">
        <v>68</v>
      </c>
    </row>
    <row r="354" spans="1:11" x14ac:dyDescent="0.25">
      <c r="A354" t="s">
        <v>81</v>
      </c>
      <c r="B354" t="s">
        <v>82</v>
      </c>
      <c r="C354" t="s">
        <v>23</v>
      </c>
      <c r="D354" t="s">
        <v>24</v>
      </c>
      <c r="E354">
        <v>2023</v>
      </c>
      <c r="F354" t="s">
        <v>57</v>
      </c>
      <c r="G354" t="s">
        <v>61</v>
      </c>
      <c r="H354">
        <v>24.8476526043798</v>
      </c>
      <c r="I354">
        <v>0.28601318115109819</v>
      </c>
      <c r="J354" t="s">
        <v>67</v>
      </c>
      <c r="K354" t="s">
        <v>68</v>
      </c>
    </row>
    <row r="355" spans="1:11" x14ac:dyDescent="0.25">
      <c r="A355" t="s">
        <v>81</v>
      </c>
      <c r="B355" t="s">
        <v>82</v>
      </c>
      <c r="C355" t="s">
        <v>23</v>
      </c>
      <c r="D355" t="s">
        <v>24</v>
      </c>
      <c r="E355">
        <v>2024</v>
      </c>
      <c r="F355" t="s">
        <v>57</v>
      </c>
      <c r="G355" t="s">
        <v>61</v>
      </c>
      <c r="H355">
        <v>24.4668640479183</v>
      </c>
      <c r="I355">
        <v>-0.38078855646149989</v>
      </c>
      <c r="J355" t="s">
        <v>67</v>
      </c>
      <c r="K355" t="s">
        <v>68</v>
      </c>
    </row>
    <row r="356" spans="1:11" x14ac:dyDescent="0.25">
      <c r="A356" t="s">
        <v>81</v>
      </c>
      <c r="B356" t="s">
        <v>82</v>
      </c>
      <c r="C356" t="s">
        <v>25</v>
      </c>
      <c r="D356" t="s">
        <v>26</v>
      </c>
      <c r="E356">
        <v>2019</v>
      </c>
      <c r="F356" t="s">
        <v>57</v>
      </c>
      <c r="G356" t="s">
        <v>61</v>
      </c>
      <c r="H356">
        <v>52.956036137041302</v>
      </c>
      <c r="J356" t="s">
        <v>67</v>
      </c>
      <c r="K356" t="s">
        <v>68</v>
      </c>
    </row>
    <row r="357" spans="1:11" x14ac:dyDescent="0.25">
      <c r="A357" t="s">
        <v>81</v>
      </c>
      <c r="B357" t="s">
        <v>82</v>
      </c>
      <c r="C357" t="s">
        <v>25</v>
      </c>
      <c r="D357" t="s">
        <v>26</v>
      </c>
      <c r="E357">
        <v>2020</v>
      </c>
      <c r="F357" t="s">
        <v>57</v>
      </c>
      <c r="G357" t="s">
        <v>61</v>
      </c>
      <c r="H357">
        <v>51.346781721452402</v>
      </c>
      <c r="I357">
        <v>-1.6092544155889001</v>
      </c>
      <c r="J357" t="s">
        <v>67</v>
      </c>
      <c r="K357" t="s">
        <v>68</v>
      </c>
    </row>
    <row r="358" spans="1:11" x14ac:dyDescent="0.25">
      <c r="A358" t="s">
        <v>81</v>
      </c>
      <c r="B358" t="s">
        <v>82</v>
      </c>
      <c r="C358" t="s">
        <v>25</v>
      </c>
      <c r="D358" t="s">
        <v>26</v>
      </c>
      <c r="E358">
        <v>2021</v>
      </c>
      <c r="F358" t="s">
        <v>57</v>
      </c>
      <c r="G358" t="s">
        <v>61</v>
      </c>
      <c r="H358">
        <v>47.992309345668197</v>
      </c>
      <c r="I358">
        <v>-3.354472375784205</v>
      </c>
      <c r="J358" t="s">
        <v>67</v>
      </c>
      <c r="K358" t="s">
        <v>68</v>
      </c>
    </row>
    <row r="359" spans="1:11" x14ac:dyDescent="0.25">
      <c r="A359" t="s">
        <v>81</v>
      </c>
      <c r="B359" t="s">
        <v>82</v>
      </c>
      <c r="C359" t="s">
        <v>25</v>
      </c>
      <c r="D359" t="s">
        <v>26</v>
      </c>
      <c r="E359">
        <v>2022</v>
      </c>
      <c r="F359" t="s">
        <v>57</v>
      </c>
      <c r="G359" t="s">
        <v>61</v>
      </c>
      <c r="H359">
        <v>47.315034379170598</v>
      </c>
      <c r="I359">
        <v>-0.677274966497599</v>
      </c>
      <c r="J359" t="s">
        <v>67</v>
      </c>
      <c r="K359" t="s">
        <v>68</v>
      </c>
    </row>
    <row r="360" spans="1:11" x14ac:dyDescent="0.25">
      <c r="A360" t="s">
        <v>81</v>
      </c>
      <c r="B360" t="s">
        <v>82</v>
      </c>
      <c r="C360" t="s">
        <v>25</v>
      </c>
      <c r="D360" t="s">
        <v>26</v>
      </c>
      <c r="E360">
        <v>2023</v>
      </c>
      <c r="F360" t="s">
        <v>57</v>
      </c>
      <c r="G360" t="s">
        <v>61</v>
      </c>
      <c r="H360">
        <v>45.475964676589797</v>
      </c>
      <c r="I360">
        <v>-1.8390697025808009</v>
      </c>
      <c r="J360" t="s">
        <v>67</v>
      </c>
      <c r="K360" t="s">
        <v>68</v>
      </c>
    </row>
    <row r="361" spans="1:11" x14ac:dyDescent="0.25">
      <c r="A361" t="s">
        <v>81</v>
      </c>
      <c r="B361" t="s">
        <v>82</v>
      </c>
      <c r="C361" t="s">
        <v>25</v>
      </c>
      <c r="D361" t="s">
        <v>26</v>
      </c>
      <c r="E361">
        <v>2024</v>
      </c>
      <c r="F361" t="s">
        <v>57</v>
      </c>
      <c r="G361" t="s">
        <v>61</v>
      </c>
      <c r="H361">
        <v>45.637050788116703</v>
      </c>
      <c r="I361">
        <v>0.161086111526906</v>
      </c>
      <c r="J361" t="s">
        <v>67</v>
      </c>
      <c r="K361" t="s">
        <v>68</v>
      </c>
    </row>
    <row r="362" spans="1:11" x14ac:dyDescent="0.25">
      <c r="A362" t="s">
        <v>81</v>
      </c>
      <c r="B362" t="s">
        <v>82</v>
      </c>
      <c r="C362" t="s">
        <v>27</v>
      </c>
      <c r="D362" t="s">
        <v>28</v>
      </c>
      <c r="E362">
        <v>2019</v>
      </c>
      <c r="F362" t="s">
        <v>57</v>
      </c>
      <c r="G362" t="s">
        <v>61</v>
      </c>
      <c r="H362">
        <v>90.875793175703393</v>
      </c>
      <c r="J362" t="s">
        <v>67</v>
      </c>
      <c r="K362" t="s">
        <v>68</v>
      </c>
    </row>
    <row r="363" spans="1:11" x14ac:dyDescent="0.25">
      <c r="A363" t="s">
        <v>81</v>
      </c>
      <c r="B363" t="s">
        <v>82</v>
      </c>
      <c r="C363" t="s">
        <v>27</v>
      </c>
      <c r="D363" t="s">
        <v>28</v>
      </c>
      <c r="E363">
        <v>2020</v>
      </c>
      <c r="F363" t="s">
        <v>57</v>
      </c>
      <c r="G363" t="s">
        <v>61</v>
      </c>
      <c r="H363">
        <v>90.315127364072794</v>
      </c>
      <c r="I363">
        <v>-0.56066581163059936</v>
      </c>
      <c r="J363" t="s">
        <v>67</v>
      </c>
      <c r="K363" t="s">
        <v>68</v>
      </c>
    </row>
    <row r="364" spans="1:11" x14ac:dyDescent="0.25">
      <c r="A364" t="s">
        <v>81</v>
      </c>
      <c r="B364" t="s">
        <v>82</v>
      </c>
      <c r="C364" t="s">
        <v>27</v>
      </c>
      <c r="D364" t="s">
        <v>28</v>
      </c>
      <c r="E364">
        <v>2021</v>
      </c>
      <c r="F364" t="s">
        <v>57</v>
      </c>
      <c r="G364" t="s">
        <v>61</v>
      </c>
      <c r="H364">
        <v>88.193780233941695</v>
      </c>
      <c r="I364">
        <v>-2.1213471301310989</v>
      </c>
      <c r="J364" t="s">
        <v>67</v>
      </c>
      <c r="K364" t="s">
        <v>68</v>
      </c>
    </row>
    <row r="365" spans="1:11" x14ac:dyDescent="0.25">
      <c r="A365" t="s">
        <v>81</v>
      </c>
      <c r="B365" t="s">
        <v>82</v>
      </c>
      <c r="C365" t="s">
        <v>27</v>
      </c>
      <c r="D365" t="s">
        <v>28</v>
      </c>
      <c r="E365">
        <v>2022</v>
      </c>
      <c r="F365" t="s">
        <v>57</v>
      </c>
      <c r="G365" t="s">
        <v>61</v>
      </c>
      <c r="H365">
        <v>90.325318918005493</v>
      </c>
      <c r="I365">
        <v>2.1315386840637984</v>
      </c>
      <c r="J365" t="s">
        <v>67</v>
      </c>
      <c r="K365" t="s">
        <v>68</v>
      </c>
    </row>
    <row r="366" spans="1:11" x14ac:dyDescent="0.25">
      <c r="A366" t="s">
        <v>81</v>
      </c>
      <c r="B366" t="s">
        <v>82</v>
      </c>
      <c r="C366" t="s">
        <v>27</v>
      </c>
      <c r="D366" t="s">
        <v>28</v>
      </c>
      <c r="E366">
        <v>2023</v>
      </c>
      <c r="F366" t="s">
        <v>57</v>
      </c>
      <c r="G366" t="s">
        <v>61</v>
      </c>
      <c r="H366">
        <v>88.409874832362306</v>
      </c>
      <c r="I366">
        <v>-1.9154440856431876</v>
      </c>
      <c r="J366" t="s">
        <v>67</v>
      </c>
      <c r="K366" t="s">
        <v>68</v>
      </c>
    </row>
    <row r="367" spans="1:11" x14ac:dyDescent="0.25">
      <c r="A367" t="s">
        <v>81</v>
      </c>
      <c r="B367" t="s">
        <v>82</v>
      </c>
      <c r="C367" t="s">
        <v>27</v>
      </c>
      <c r="D367" t="s">
        <v>28</v>
      </c>
      <c r="E367">
        <v>2024</v>
      </c>
      <c r="F367" t="s">
        <v>57</v>
      </c>
      <c r="G367" t="s">
        <v>61</v>
      </c>
      <c r="H367">
        <v>85.718589194666606</v>
      </c>
      <c r="I367">
        <v>-2.6912856376956995</v>
      </c>
      <c r="J367" t="s">
        <v>67</v>
      </c>
      <c r="K367" t="s">
        <v>68</v>
      </c>
    </row>
    <row r="368" spans="1:11" x14ac:dyDescent="0.25">
      <c r="A368" t="s">
        <v>81</v>
      </c>
      <c r="B368" t="s">
        <v>82</v>
      </c>
      <c r="C368" t="s">
        <v>29</v>
      </c>
      <c r="D368" t="s">
        <v>30</v>
      </c>
      <c r="E368">
        <v>2019</v>
      </c>
      <c r="F368" t="s">
        <v>57</v>
      </c>
      <c r="G368" t="s">
        <v>61</v>
      </c>
      <c r="H368">
        <v>123.463525170515</v>
      </c>
      <c r="J368" t="s">
        <v>67</v>
      </c>
      <c r="K368" t="s">
        <v>68</v>
      </c>
    </row>
    <row r="369" spans="1:11" x14ac:dyDescent="0.25">
      <c r="A369" t="s">
        <v>81</v>
      </c>
      <c r="B369" t="s">
        <v>82</v>
      </c>
      <c r="C369" t="s">
        <v>29</v>
      </c>
      <c r="D369" t="s">
        <v>30</v>
      </c>
      <c r="E369">
        <v>2020</v>
      </c>
      <c r="F369" t="s">
        <v>57</v>
      </c>
      <c r="G369" t="s">
        <v>61</v>
      </c>
      <c r="H369">
        <v>120.980644468343</v>
      </c>
      <c r="I369">
        <v>-2.4828807021719967</v>
      </c>
      <c r="J369" t="s">
        <v>67</v>
      </c>
      <c r="K369" t="s">
        <v>68</v>
      </c>
    </row>
    <row r="370" spans="1:11" x14ac:dyDescent="0.25">
      <c r="A370" t="s">
        <v>81</v>
      </c>
      <c r="B370" t="s">
        <v>82</v>
      </c>
      <c r="C370" t="s">
        <v>29</v>
      </c>
      <c r="D370" t="s">
        <v>30</v>
      </c>
      <c r="E370">
        <v>2021</v>
      </c>
      <c r="F370" t="s">
        <v>57</v>
      </c>
      <c r="G370" t="s">
        <v>61</v>
      </c>
      <c r="H370">
        <v>116.60846586617301</v>
      </c>
      <c r="I370">
        <v>-4.3721786021699955</v>
      </c>
      <c r="J370" t="s">
        <v>67</v>
      </c>
      <c r="K370" t="s">
        <v>68</v>
      </c>
    </row>
    <row r="371" spans="1:11" x14ac:dyDescent="0.25">
      <c r="A371" t="s">
        <v>81</v>
      </c>
      <c r="B371" t="s">
        <v>82</v>
      </c>
      <c r="C371" t="s">
        <v>29</v>
      </c>
      <c r="D371" t="s">
        <v>30</v>
      </c>
      <c r="E371">
        <v>2022</v>
      </c>
      <c r="F371" t="s">
        <v>57</v>
      </c>
      <c r="G371" t="s">
        <v>61</v>
      </c>
      <c r="H371">
        <v>113.069146743042</v>
      </c>
      <c r="I371">
        <v>-3.5393191231310084</v>
      </c>
      <c r="J371" t="s">
        <v>67</v>
      </c>
      <c r="K371" t="s">
        <v>68</v>
      </c>
    </row>
    <row r="372" spans="1:11" x14ac:dyDescent="0.25">
      <c r="A372" t="s">
        <v>81</v>
      </c>
      <c r="B372" t="s">
        <v>82</v>
      </c>
      <c r="C372" t="s">
        <v>29</v>
      </c>
      <c r="D372" t="s">
        <v>30</v>
      </c>
      <c r="E372">
        <v>2023</v>
      </c>
      <c r="F372" t="s">
        <v>57</v>
      </c>
      <c r="G372" t="s">
        <v>61</v>
      </c>
      <c r="H372">
        <v>109.829582665584</v>
      </c>
      <c r="I372">
        <v>-3.2395640774579988</v>
      </c>
      <c r="J372" t="s">
        <v>67</v>
      </c>
      <c r="K372" t="s">
        <v>68</v>
      </c>
    </row>
    <row r="373" spans="1:11" x14ac:dyDescent="0.25">
      <c r="A373" t="s">
        <v>81</v>
      </c>
      <c r="B373" t="s">
        <v>82</v>
      </c>
      <c r="C373" t="s">
        <v>29</v>
      </c>
      <c r="D373" t="s">
        <v>30</v>
      </c>
      <c r="E373">
        <v>2024</v>
      </c>
      <c r="F373" t="s">
        <v>57</v>
      </c>
      <c r="G373" t="s">
        <v>61</v>
      </c>
      <c r="H373">
        <v>107.03894109574</v>
      </c>
      <c r="I373">
        <v>-2.7906415698439986</v>
      </c>
      <c r="J373" t="s">
        <v>67</v>
      </c>
      <c r="K373" t="s">
        <v>68</v>
      </c>
    </row>
    <row r="374" spans="1:11" x14ac:dyDescent="0.25">
      <c r="A374" t="s">
        <v>81</v>
      </c>
      <c r="B374" t="s">
        <v>82</v>
      </c>
      <c r="C374" t="s">
        <v>49</v>
      </c>
      <c r="D374" t="s">
        <v>50</v>
      </c>
      <c r="E374">
        <v>2019</v>
      </c>
      <c r="F374" t="s">
        <v>57</v>
      </c>
      <c r="G374" t="s">
        <v>61</v>
      </c>
      <c r="H374">
        <v>76.009217715972696</v>
      </c>
      <c r="J374" t="s">
        <v>67</v>
      </c>
      <c r="K374" t="s">
        <v>68</v>
      </c>
    </row>
    <row r="375" spans="1:11" x14ac:dyDescent="0.25">
      <c r="A375" t="s">
        <v>81</v>
      </c>
      <c r="B375" t="s">
        <v>82</v>
      </c>
      <c r="C375" t="s">
        <v>49</v>
      </c>
      <c r="D375" t="s">
        <v>50</v>
      </c>
      <c r="E375">
        <v>2020</v>
      </c>
      <c r="F375" t="s">
        <v>57</v>
      </c>
      <c r="G375" t="s">
        <v>61</v>
      </c>
      <c r="H375">
        <v>61.609814054023097</v>
      </c>
      <c r="I375">
        <v>-14.399403661949599</v>
      </c>
      <c r="J375" t="s">
        <v>67</v>
      </c>
      <c r="K375" t="s">
        <v>68</v>
      </c>
    </row>
    <row r="376" spans="1:11" x14ac:dyDescent="0.25">
      <c r="A376" t="s">
        <v>81</v>
      </c>
      <c r="B376" t="s">
        <v>82</v>
      </c>
      <c r="C376" t="s">
        <v>49</v>
      </c>
      <c r="D376" t="s">
        <v>50</v>
      </c>
      <c r="E376">
        <v>2021</v>
      </c>
      <c r="F376" t="s">
        <v>57</v>
      </c>
      <c r="G376" t="s">
        <v>61</v>
      </c>
      <c r="H376">
        <v>63.905519692197501</v>
      </c>
      <c r="I376">
        <v>2.2957056381744039</v>
      </c>
      <c r="J376" t="s">
        <v>67</v>
      </c>
      <c r="K376" t="s">
        <v>68</v>
      </c>
    </row>
    <row r="377" spans="1:11" x14ac:dyDescent="0.25">
      <c r="A377" t="s">
        <v>81</v>
      </c>
      <c r="B377" t="s">
        <v>82</v>
      </c>
      <c r="C377" t="s">
        <v>49</v>
      </c>
      <c r="D377" t="s">
        <v>50</v>
      </c>
      <c r="E377">
        <v>2022</v>
      </c>
      <c r="F377" t="s">
        <v>57</v>
      </c>
      <c r="G377" t="s">
        <v>61</v>
      </c>
      <c r="H377">
        <v>62.545479652895501</v>
      </c>
      <c r="I377">
        <v>-1.3600400393019996</v>
      </c>
      <c r="J377" t="s">
        <v>67</v>
      </c>
      <c r="K377" t="s">
        <v>68</v>
      </c>
    </row>
    <row r="378" spans="1:11" x14ac:dyDescent="0.25">
      <c r="A378" t="s">
        <v>81</v>
      </c>
      <c r="B378" t="s">
        <v>82</v>
      </c>
      <c r="C378" t="s">
        <v>49</v>
      </c>
      <c r="D378" t="s">
        <v>50</v>
      </c>
      <c r="E378">
        <v>2023</v>
      </c>
      <c r="F378" t="s">
        <v>57</v>
      </c>
      <c r="G378" t="s">
        <v>61</v>
      </c>
      <c r="H378">
        <v>58.801998508560501</v>
      </c>
      <c r="I378">
        <v>-3.743481144335</v>
      </c>
      <c r="J378" t="s">
        <v>67</v>
      </c>
      <c r="K378" t="s">
        <v>68</v>
      </c>
    </row>
    <row r="379" spans="1:11" x14ac:dyDescent="0.25">
      <c r="A379" t="s">
        <v>81</v>
      </c>
      <c r="B379" t="s">
        <v>82</v>
      </c>
      <c r="C379" t="s">
        <v>49</v>
      </c>
      <c r="D379" t="s">
        <v>50</v>
      </c>
      <c r="E379">
        <v>2024</v>
      </c>
      <c r="F379" t="s">
        <v>57</v>
      </c>
      <c r="G379" t="s">
        <v>61</v>
      </c>
      <c r="H379">
        <v>58.042871089020402</v>
      </c>
      <c r="I379">
        <v>-0.75912741954009988</v>
      </c>
      <c r="J379" t="s">
        <v>67</v>
      </c>
      <c r="K379" t="s">
        <v>68</v>
      </c>
    </row>
    <row r="380" spans="1:11" x14ac:dyDescent="0.25">
      <c r="A380" t="s">
        <v>81</v>
      </c>
      <c r="B380" t="s">
        <v>82</v>
      </c>
      <c r="C380" t="s">
        <v>33</v>
      </c>
      <c r="D380" t="s">
        <v>34</v>
      </c>
      <c r="E380">
        <v>2019</v>
      </c>
      <c r="F380" t="s">
        <v>57</v>
      </c>
      <c r="G380" t="s">
        <v>61</v>
      </c>
      <c r="H380">
        <v>62.561741259406801</v>
      </c>
      <c r="J380" t="s">
        <v>67</v>
      </c>
      <c r="K380" t="s">
        <v>68</v>
      </c>
    </row>
    <row r="381" spans="1:11" x14ac:dyDescent="0.25">
      <c r="A381" t="s">
        <v>81</v>
      </c>
      <c r="B381" t="s">
        <v>82</v>
      </c>
      <c r="C381" t="s">
        <v>33</v>
      </c>
      <c r="D381" t="s">
        <v>34</v>
      </c>
      <c r="E381">
        <v>2020</v>
      </c>
      <c r="F381" t="s">
        <v>57</v>
      </c>
      <c r="G381" t="s">
        <v>61</v>
      </c>
      <c r="H381">
        <v>63.307650696822002</v>
      </c>
      <c r="I381">
        <v>0.74590943741520022</v>
      </c>
      <c r="J381" t="s">
        <v>67</v>
      </c>
      <c r="K381" t="s">
        <v>68</v>
      </c>
    </row>
    <row r="382" spans="1:11" x14ac:dyDescent="0.25">
      <c r="A382" t="s">
        <v>81</v>
      </c>
      <c r="B382" t="s">
        <v>82</v>
      </c>
      <c r="C382" t="s">
        <v>33</v>
      </c>
      <c r="D382" t="s">
        <v>34</v>
      </c>
      <c r="E382">
        <v>2021</v>
      </c>
      <c r="F382" t="s">
        <v>57</v>
      </c>
      <c r="G382" t="s">
        <v>61</v>
      </c>
      <c r="H382">
        <v>63.688171415699003</v>
      </c>
      <c r="I382">
        <v>0.38052071887700123</v>
      </c>
      <c r="J382" t="s">
        <v>67</v>
      </c>
      <c r="K382" t="s">
        <v>68</v>
      </c>
    </row>
    <row r="383" spans="1:11" x14ac:dyDescent="0.25">
      <c r="A383" t="s">
        <v>81</v>
      </c>
      <c r="B383" t="s">
        <v>82</v>
      </c>
      <c r="C383" t="s">
        <v>33</v>
      </c>
      <c r="D383" t="s">
        <v>34</v>
      </c>
      <c r="E383">
        <v>2022</v>
      </c>
      <c r="F383" t="s">
        <v>57</v>
      </c>
      <c r="G383" t="s">
        <v>61</v>
      </c>
      <c r="H383">
        <v>66.460932939021902</v>
      </c>
      <c r="I383">
        <v>2.7727615233228988</v>
      </c>
      <c r="J383" t="s">
        <v>67</v>
      </c>
      <c r="K383" t="s">
        <v>68</v>
      </c>
    </row>
    <row r="384" spans="1:11" x14ac:dyDescent="0.25">
      <c r="A384" t="s">
        <v>81</v>
      </c>
      <c r="B384" t="s">
        <v>82</v>
      </c>
      <c r="C384" t="s">
        <v>33</v>
      </c>
      <c r="D384" t="s">
        <v>34</v>
      </c>
      <c r="E384">
        <v>2023</v>
      </c>
      <c r="F384" t="s">
        <v>57</v>
      </c>
      <c r="G384" t="s">
        <v>61</v>
      </c>
      <c r="H384">
        <v>68.816493866621499</v>
      </c>
      <c r="I384">
        <v>2.3555609275995977</v>
      </c>
      <c r="J384" t="s">
        <v>67</v>
      </c>
      <c r="K384" t="s">
        <v>68</v>
      </c>
    </row>
    <row r="385" spans="1:11" x14ac:dyDescent="0.25">
      <c r="A385" t="s">
        <v>81</v>
      </c>
      <c r="B385" t="s">
        <v>82</v>
      </c>
      <c r="C385" t="s">
        <v>33</v>
      </c>
      <c r="D385" t="s">
        <v>34</v>
      </c>
      <c r="E385">
        <v>2024</v>
      </c>
      <c r="F385" t="s">
        <v>57</v>
      </c>
      <c r="G385" t="s">
        <v>61</v>
      </c>
      <c r="H385">
        <v>69.974340919572498</v>
      </c>
      <c r="I385">
        <v>1.1578470529509985</v>
      </c>
      <c r="J385" t="s">
        <v>67</v>
      </c>
      <c r="K385" t="s">
        <v>68</v>
      </c>
    </row>
    <row r="386" spans="1:11" x14ac:dyDescent="0.25">
      <c r="A386" t="s">
        <v>81</v>
      </c>
      <c r="B386" t="s">
        <v>82</v>
      </c>
      <c r="C386" t="s">
        <v>51</v>
      </c>
      <c r="D386" t="s">
        <v>52</v>
      </c>
      <c r="E386">
        <v>2019</v>
      </c>
      <c r="F386" t="s">
        <v>57</v>
      </c>
      <c r="G386" t="s">
        <v>61</v>
      </c>
      <c r="H386">
        <v>46.188913228166598</v>
      </c>
      <c r="J386" t="s">
        <v>67</v>
      </c>
      <c r="K386" t="s">
        <v>68</v>
      </c>
    </row>
    <row r="387" spans="1:11" x14ac:dyDescent="0.25">
      <c r="A387" t="s">
        <v>81</v>
      </c>
      <c r="B387" t="s">
        <v>82</v>
      </c>
      <c r="C387" t="s">
        <v>51</v>
      </c>
      <c r="D387" t="s">
        <v>52</v>
      </c>
      <c r="E387">
        <v>2020</v>
      </c>
      <c r="F387" t="s">
        <v>57</v>
      </c>
      <c r="G387" t="s">
        <v>61</v>
      </c>
      <c r="H387">
        <v>48.593289611253603</v>
      </c>
      <c r="I387">
        <v>2.4043763830870049</v>
      </c>
      <c r="J387" t="s">
        <v>67</v>
      </c>
      <c r="K387" t="s">
        <v>68</v>
      </c>
    </row>
    <row r="388" spans="1:11" x14ac:dyDescent="0.25">
      <c r="A388" t="s">
        <v>81</v>
      </c>
      <c r="B388" t="s">
        <v>82</v>
      </c>
      <c r="C388" t="s">
        <v>51</v>
      </c>
      <c r="D388" t="s">
        <v>52</v>
      </c>
      <c r="E388">
        <v>2021</v>
      </c>
      <c r="F388" t="s">
        <v>57</v>
      </c>
      <c r="G388" t="s">
        <v>61</v>
      </c>
      <c r="H388">
        <v>50.540774156109997</v>
      </c>
      <c r="I388">
        <v>1.947484544856394</v>
      </c>
      <c r="J388" t="s">
        <v>67</v>
      </c>
      <c r="K388" t="s">
        <v>68</v>
      </c>
    </row>
    <row r="389" spans="1:11" x14ac:dyDescent="0.25">
      <c r="A389" t="s">
        <v>81</v>
      </c>
      <c r="B389" t="s">
        <v>82</v>
      </c>
      <c r="C389" t="s">
        <v>51</v>
      </c>
      <c r="D389" t="s">
        <v>52</v>
      </c>
      <c r="E389">
        <v>2022</v>
      </c>
      <c r="F389" t="s">
        <v>57</v>
      </c>
      <c r="G389" t="s">
        <v>61</v>
      </c>
      <c r="H389">
        <v>51.892306986979598</v>
      </c>
      <c r="I389">
        <v>1.3515328308696013</v>
      </c>
      <c r="J389" t="s">
        <v>67</v>
      </c>
      <c r="K389" t="s">
        <v>68</v>
      </c>
    </row>
    <row r="390" spans="1:11" x14ac:dyDescent="0.25">
      <c r="A390" t="s">
        <v>81</v>
      </c>
      <c r="B390" t="s">
        <v>82</v>
      </c>
      <c r="C390" t="s">
        <v>51</v>
      </c>
      <c r="D390" t="s">
        <v>52</v>
      </c>
      <c r="E390">
        <v>2023</v>
      </c>
      <c r="F390" t="s">
        <v>57</v>
      </c>
      <c r="G390" t="s">
        <v>61</v>
      </c>
      <c r="J390" t="s">
        <v>67</v>
      </c>
      <c r="K390" t="s">
        <v>68</v>
      </c>
    </row>
    <row r="391" spans="1:11" x14ac:dyDescent="0.25">
      <c r="A391" t="s">
        <v>81</v>
      </c>
      <c r="B391" t="s">
        <v>82</v>
      </c>
      <c r="C391" t="s">
        <v>51</v>
      </c>
      <c r="D391" t="s">
        <v>52</v>
      </c>
      <c r="E391">
        <v>2024</v>
      </c>
      <c r="F391" t="s">
        <v>57</v>
      </c>
      <c r="G391" t="s">
        <v>61</v>
      </c>
      <c r="J391" t="s">
        <v>67</v>
      </c>
      <c r="K391" t="s">
        <v>68</v>
      </c>
    </row>
    <row r="392" spans="1:11" x14ac:dyDescent="0.25">
      <c r="A392" t="s">
        <v>81</v>
      </c>
      <c r="B392" t="s">
        <v>82</v>
      </c>
      <c r="C392" t="s">
        <v>53</v>
      </c>
      <c r="D392" t="s">
        <v>54</v>
      </c>
      <c r="E392">
        <v>2019</v>
      </c>
      <c r="F392" t="s">
        <v>57</v>
      </c>
      <c r="G392" t="s">
        <v>61</v>
      </c>
      <c r="H392">
        <v>59.523202295058503</v>
      </c>
      <c r="J392" t="s">
        <v>67</v>
      </c>
      <c r="K392" t="s">
        <v>68</v>
      </c>
    </row>
    <row r="393" spans="1:11" x14ac:dyDescent="0.25">
      <c r="A393" t="s">
        <v>81</v>
      </c>
      <c r="B393" t="s">
        <v>82</v>
      </c>
      <c r="C393" t="s">
        <v>53</v>
      </c>
      <c r="D393" t="s">
        <v>54</v>
      </c>
      <c r="E393">
        <v>2020</v>
      </c>
      <c r="F393" t="s">
        <v>57</v>
      </c>
      <c r="G393" t="s">
        <v>61</v>
      </c>
      <c r="H393">
        <v>56.4737534529364</v>
      </c>
      <c r="I393">
        <v>-3.0494488421221035</v>
      </c>
      <c r="J393" t="s">
        <v>67</v>
      </c>
      <c r="K393" t="s">
        <v>68</v>
      </c>
    </row>
    <row r="394" spans="1:11" x14ac:dyDescent="0.25">
      <c r="A394" t="s">
        <v>81</v>
      </c>
      <c r="B394" t="s">
        <v>82</v>
      </c>
      <c r="C394" t="s">
        <v>53</v>
      </c>
      <c r="D394" t="s">
        <v>54</v>
      </c>
      <c r="E394">
        <v>2021</v>
      </c>
      <c r="F394" t="s">
        <v>57</v>
      </c>
      <c r="G394" t="s">
        <v>61</v>
      </c>
      <c r="H394">
        <v>62.678054597974104</v>
      </c>
      <c r="I394">
        <v>6.2043011450377037</v>
      </c>
      <c r="J394" t="s">
        <v>67</v>
      </c>
      <c r="K394" t="s">
        <v>68</v>
      </c>
    </row>
    <row r="395" spans="1:11" x14ac:dyDescent="0.25">
      <c r="A395" t="s">
        <v>81</v>
      </c>
      <c r="B395" t="s">
        <v>82</v>
      </c>
      <c r="C395" t="s">
        <v>53</v>
      </c>
      <c r="D395" t="s">
        <v>54</v>
      </c>
      <c r="E395">
        <v>2022</v>
      </c>
      <c r="F395" t="s">
        <v>57</v>
      </c>
      <c r="G395" t="s">
        <v>61</v>
      </c>
      <c r="H395">
        <v>61.230597360201898</v>
      </c>
      <c r="I395">
        <v>-1.4474572377722055</v>
      </c>
      <c r="J395" t="s">
        <v>67</v>
      </c>
      <c r="K395" t="s">
        <v>68</v>
      </c>
    </row>
    <row r="396" spans="1:11" x14ac:dyDescent="0.25">
      <c r="A396" t="s">
        <v>81</v>
      </c>
      <c r="B396" t="s">
        <v>82</v>
      </c>
      <c r="C396" t="s">
        <v>53</v>
      </c>
      <c r="D396" t="s">
        <v>54</v>
      </c>
      <c r="E396">
        <v>2023</v>
      </c>
      <c r="F396" t="s">
        <v>57</v>
      </c>
      <c r="G396" t="s">
        <v>61</v>
      </c>
      <c r="H396">
        <v>63.416352987225302</v>
      </c>
      <c r="I396">
        <v>2.1857556270234042</v>
      </c>
      <c r="J396" t="s">
        <v>67</v>
      </c>
      <c r="K396" t="s">
        <v>68</v>
      </c>
    </row>
    <row r="397" spans="1:11" x14ac:dyDescent="0.25">
      <c r="A397" t="s">
        <v>81</v>
      </c>
      <c r="B397" t="s">
        <v>82</v>
      </c>
      <c r="C397" t="s">
        <v>53</v>
      </c>
      <c r="D397" t="s">
        <v>54</v>
      </c>
      <c r="E397">
        <v>2024</v>
      </c>
      <c r="F397" t="s">
        <v>57</v>
      </c>
      <c r="G397" t="s">
        <v>61</v>
      </c>
      <c r="J397" t="s">
        <v>67</v>
      </c>
      <c r="K397" t="s">
        <v>68</v>
      </c>
    </row>
    <row r="398" spans="1:11" x14ac:dyDescent="0.25">
      <c r="A398" t="s">
        <v>81</v>
      </c>
      <c r="B398" t="s">
        <v>82</v>
      </c>
      <c r="C398" t="s">
        <v>31</v>
      </c>
      <c r="D398" t="s">
        <v>32</v>
      </c>
      <c r="E398">
        <v>2019</v>
      </c>
      <c r="F398" t="s">
        <v>57</v>
      </c>
      <c r="G398" t="s">
        <v>61</v>
      </c>
      <c r="H398">
        <v>263.322520065682</v>
      </c>
      <c r="J398" t="s">
        <v>67</v>
      </c>
      <c r="K398" t="s">
        <v>68</v>
      </c>
    </row>
    <row r="399" spans="1:11" x14ac:dyDescent="0.25">
      <c r="A399" t="s">
        <v>81</v>
      </c>
      <c r="B399" t="s">
        <v>82</v>
      </c>
      <c r="C399" t="s">
        <v>31</v>
      </c>
      <c r="D399" t="s">
        <v>32</v>
      </c>
      <c r="E399">
        <v>2020</v>
      </c>
      <c r="F399" t="s">
        <v>57</v>
      </c>
      <c r="G399" t="s">
        <v>61</v>
      </c>
      <c r="H399">
        <v>258.19172588842201</v>
      </c>
      <c r="I399">
        <v>-5.1307941772599861</v>
      </c>
      <c r="J399" t="s">
        <v>67</v>
      </c>
      <c r="K399" t="s">
        <v>68</v>
      </c>
    </row>
    <row r="400" spans="1:11" x14ac:dyDescent="0.25">
      <c r="A400" t="s">
        <v>81</v>
      </c>
      <c r="B400" t="s">
        <v>82</v>
      </c>
      <c r="C400" t="s">
        <v>31</v>
      </c>
      <c r="D400" t="s">
        <v>32</v>
      </c>
      <c r="E400">
        <v>2021</v>
      </c>
      <c r="F400" t="s">
        <v>57</v>
      </c>
      <c r="G400" t="s">
        <v>61</v>
      </c>
      <c r="H400">
        <v>256.85523274480403</v>
      </c>
      <c r="I400">
        <v>-1.3364931436179859</v>
      </c>
      <c r="J400" t="s">
        <v>67</v>
      </c>
      <c r="K400" t="s">
        <v>68</v>
      </c>
    </row>
    <row r="401" spans="1:11" x14ac:dyDescent="0.25">
      <c r="A401" t="s">
        <v>81</v>
      </c>
      <c r="B401" t="s">
        <v>82</v>
      </c>
      <c r="C401" t="s">
        <v>31</v>
      </c>
      <c r="D401" t="s">
        <v>32</v>
      </c>
      <c r="E401">
        <v>2022</v>
      </c>
      <c r="F401" t="s">
        <v>57</v>
      </c>
      <c r="G401" t="s">
        <v>61</v>
      </c>
      <c r="H401">
        <v>252.63395397545099</v>
      </c>
      <c r="I401">
        <v>-4.2212787693530345</v>
      </c>
      <c r="J401" t="s">
        <v>67</v>
      </c>
      <c r="K401" t="s">
        <v>68</v>
      </c>
    </row>
    <row r="402" spans="1:11" x14ac:dyDescent="0.25">
      <c r="A402" t="s">
        <v>81</v>
      </c>
      <c r="B402" t="s">
        <v>82</v>
      </c>
      <c r="C402" t="s">
        <v>31</v>
      </c>
      <c r="D402" t="s">
        <v>32</v>
      </c>
      <c r="E402">
        <v>2023</v>
      </c>
      <c r="F402" t="s">
        <v>57</v>
      </c>
      <c r="G402" t="s">
        <v>61</v>
      </c>
      <c r="H402">
        <v>244.46929276974501</v>
      </c>
      <c r="I402">
        <v>-8.1646612057059826</v>
      </c>
      <c r="J402" t="s">
        <v>67</v>
      </c>
      <c r="K402" t="s">
        <v>68</v>
      </c>
    </row>
    <row r="403" spans="1:11" x14ac:dyDescent="0.25">
      <c r="A403" t="s">
        <v>81</v>
      </c>
      <c r="B403" t="s">
        <v>82</v>
      </c>
      <c r="C403" t="s">
        <v>31</v>
      </c>
      <c r="D403" t="s">
        <v>32</v>
      </c>
      <c r="E403">
        <v>2024</v>
      </c>
      <c r="F403" t="s">
        <v>57</v>
      </c>
      <c r="G403" t="s">
        <v>61</v>
      </c>
      <c r="J403" t="s">
        <v>67</v>
      </c>
      <c r="K403" t="s">
        <v>68</v>
      </c>
    </row>
    <row r="404" spans="1:11" x14ac:dyDescent="0.25">
      <c r="A404" t="s">
        <v>81</v>
      </c>
      <c r="B404" t="s">
        <v>82</v>
      </c>
      <c r="C404" t="s">
        <v>35</v>
      </c>
      <c r="D404" t="s">
        <v>36</v>
      </c>
      <c r="E404">
        <v>2019</v>
      </c>
      <c r="F404" t="s">
        <v>57</v>
      </c>
      <c r="G404" t="s">
        <v>61</v>
      </c>
      <c r="H404" t="s">
        <v>75</v>
      </c>
      <c r="J404" t="s">
        <v>67</v>
      </c>
      <c r="K404" t="s">
        <v>68</v>
      </c>
    </row>
    <row r="405" spans="1:11" x14ac:dyDescent="0.25">
      <c r="A405" t="s">
        <v>81</v>
      </c>
      <c r="B405" t="s">
        <v>82</v>
      </c>
      <c r="C405" t="s">
        <v>35</v>
      </c>
      <c r="D405" t="s">
        <v>36</v>
      </c>
      <c r="E405">
        <v>2020</v>
      </c>
      <c r="F405" t="s">
        <v>57</v>
      </c>
      <c r="G405" t="s">
        <v>61</v>
      </c>
      <c r="H405" t="s">
        <v>76</v>
      </c>
      <c r="I405">
        <v>3.164366664898921E-2</v>
      </c>
      <c r="J405" t="s">
        <v>67</v>
      </c>
      <c r="K405" t="s">
        <v>68</v>
      </c>
    </row>
    <row r="406" spans="1:11" x14ac:dyDescent="0.25">
      <c r="A406" t="s">
        <v>81</v>
      </c>
      <c r="B406" t="s">
        <v>82</v>
      </c>
      <c r="C406" t="s">
        <v>35</v>
      </c>
      <c r="D406" t="s">
        <v>36</v>
      </c>
      <c r="E406">
        <v>2021</v>
      </c>
      <c r="F406" t="s">
        <v>57</v>
      </c>
      <c r="G406" t="s">
        <v>61</v>
      </c>
      <c r="H406" t="s">
        <v>77</v>
      </c>
      <c r="I406">
        <v>-8.5767353587970092</v>
      </c>
      <c r="J406" t="s">
        <v>67</v>
      </c>
      <c r="K406" t="s">
        <v>68</v>
      </c>
    </row>
    <row r="407" spans="1:11" x14ac:dyDescent="0.25">
      <c r="A407" t="s">
        <v>81</v>
      </c>
      <c r="B407" t="s">
        <v>82</v>
      </c>
      <c r="C407" t="s">
        <v>35</v>
      </c>
      <c r="D407" t="s">
        <v>36</v>
      </c>
      <c r="E407">
        <v>2022</v>
      </c>
      <c r="F407" t="s">
        <v>57</v>
      </c>
      <c r="G407" t="s">
        <v>61</v>
      </c>
      <c r="H407" t="s">
        <v>78</v>
      </c>
      <c r="I407">
        <v>-9.6576121819149989</v>
      </c>
      <c r="J407" t="s">
        <v>67</v>
      </c>
      <c r="K407" t="s">
        <v>68</v>
      </c>
    </row>
    <row r="408" spans="1:11" x14ac:dyDescent="0.25">
      <c r="A408" t="s">
        <v>81</v>
      </c>
      <c r="B408" t="s">
        <v>82</v>
      </c>
      <c r="C408" t="s">
        <v>35</v>
      </c>
      <c r="D408" t="s">
        <v>36</v>
      </c>
      <c r="E408">
        <v>2023</v>
      </c>
      <c r="F408" t="s">
        <v>57</v>
      </c>
      <c r="G408" t="s">
        <v>61</v>
      </c>
      <c r="H408" t="s">
        <v>79</v>
      </c>
      <c r="I408">
        <v>-29.660701620085007</v>
      </c>
      <c r="J408" t="s">
        <v>67</v>
      </c>
      <c r="K408" t="s">
        <v>68</v>
      </c>
    </row>
    <row r="409" spans="1:11" x14ac:dyDescent="0.25">
      <c r="A409" t="s">
        <v>81</v>
      </c>
      <c r="B409" t="s">
        <v>82</v>
      </c>
      <c r="C409" t="s">
        <v>35</v>
      </c>
      <c r="D409" t="s">
        <v>36</v>
      </c>
      <c r="E409">
        <v>2024</v>
      </c>
      <c r="F409" t="s">
        <v>57</v>
      </c>
      <c r="G409" t="s">
        <v>61</v>
      </c>
      <c r="H409" t="s">
        <v>80</v>
      </c>
      <c r="I409">
        <v>-6.1836115262359783</v>
      </c>
      <c r="J409" t="s">
        <v>67</v>
      </c>
      <c r="K409" t="s">
        <v>68</v>
      </c>
    </row>
    <row r="410" spans="1:11" x14ac:dyDescent="0.25">
      <c r="A410" t="s">
        <v>81</v>
      </c>
      <c r="B410" t="s">
        <v>82</v>
      </c>
      <c r="C410" t="s">
        <v>7</v>
      </c>
      <c r="D410" t="s">
        <v>8</v>
      </c>
      <c r="E410">
        <v>2019</v>
      </c>
      <c r="F410" t="s">
        <v>57</v>
      </c>
      <c r="G410" t="s">
        <v>61</v>
      </c>
      <c r="H410">
        <v>84.588951989385905</v>
      </c>
      <c r="J410" t="s">
        <v>67</v>
      </c>
      <c r="K410" t="s">
        <v>68</v>
      </c>
    </row>
    <row r="411" spans="1:11" x14ac:dyDescent="0.25">
      <c r="A411" t="s">
        <v>81</v>
      </c>
      <c r="B411" t="s">
        <v>82</v>
      </c>
      <c r="C411" t="s">
        <v>7</v>
      </c>
      <c r="D411" t="s">
        <v>8</v>
      </c>
      <c r="E411">
        <v>2020</v>
      </c>
      <c r="F411" t="s">
        <v>57</v>
      </c>
      <c r="G411" t="s">
        <v>61</v>
      </c>
      <c r="H411">
        <v>77.836685456249995</v>
      </c>
      <c r="I411">
        <v>-6.7522665331359093</v>
      </c>
      <c r="J411" t="s">
        <v>67</v>
      </c>
      <c r="K411" t="s">
        <v>68</v>
      </c>
    </row>
    <row r="412" spans="1:11" x14ac:dyDescent="0.25">
      <c r="A412" t="s">
        <v>81</v>
      </c>
      <c r="B412" t="s">
        <v>82</v>
      </c>
      <c r="C412" t="s">
        <v>7</v>
      </c>
      <c r="D412" t="s">
        <v>8</v>
      </c>
      <c r="E412">
        <v>2021</v>
      </c>
      <c r="F412" t="s">
        <v>57</v>
      </c>
      <c r="G412" t="s">
        <v>61</v>
      </c>
      <c r="H412">
        <v>71.853201962655604</v>
      </c>
      <c r="I412">
        <v>-5.9834834935943917</v>
      </c>
      <c r="J412" t="s">
        <v>67</v>
      </c>
      <c r="K412" t="s">
        <v>68</v>
      </c>
    </row>
    <row r="413" spans="1:11" x14ac:dyDescent="0.25">
      <c r="A413" t="s">
        <v>81</v>
      </c>
      <c r="B413" t="s">
        <v>82</v>
      </c>
      <c r="C413" t="s">
        <v>7</v>
      </c>
      <c r="D413" t="s">
        <v>8</v>
      </c>
      <c r="E413">
        <v>2022</v>
      </c>
      <c r="F413" t="s">
        <v>57</v>
      </c>
      <c r="G413" t="s">
        <v>61</v>
      </c>
      <c r="H413">
        <v>67.026063739225293</v>
      </c>
      <c r="I413">
        <v>-4.8271382234303104</v>
      </c>
      <c r="J413" t="s">
        <v>67</v>
      </c>
      <c r="K413" t="s">
        <v>68</v>
      </c>
    </row>
    <row r="414" spans="1:11" x14ac:dyDescent="0.25">
      <c r="A414" t="s">
        <v>81</v>
      </c>
      <c r="B414" t="s">
        <v>82</v>
      </c>
      <c r="C414" t="s">
        <v>7</v>
      </c>
      <c r="D414" t="s">
        <v>8</v>
      </c>
      <c r="E414">
        <v>2023</v>
      </c>
      <c r="F414" t="s">
        <v>57</v>
      </c>
      <c r="G414" t="s">
        <v>61</v>
      </c>
      <c r="H414">
        <v>62.366024847274701</v>
      </c>
      <c r="I414">
        <v>-4.6600388919505917</v>
      </c>
      <c r="J414" t="s">
        <v>67</v>
      </c>
      <c r="K414" t="s">
        <v>68</v>
      </c>
    </row>
    <row r="415" spans="1:11" x14ac:dyDescent="0.25">
      <c r="A415" t="s">
        <v>81</v>
      </c>
      <c r="B415" t="s">
        <v>82</v>
      </c>
      <c r="C415" t="s">
        <v>7</v>
      </c>
      <c r="D415" t="s">
        <v>8</v>
      </c>
      <c r="E415">
        <v>2024</v>
      </c>
      <c r="F415" t="s">
        <v>57</v>
      </c>
      <c r="G415" t="s">
        <v>61</v>
      </c>
      <c r="H415">
        <v>56.057034118449103</v>
      </c>
      <c r="I415">
        <v>-6.3089907288255986</v>
      </c>
      <c r="J415" t="s">
        <v>67</v>
      </c>
      <c r="K415" t="s">
        <v>68</v>
      </c>
    </row>
    <row r="416" spans="1:11" x14ac:dyDescent="0.25">
      <c r="A416" t="s">
        <v>81</v>
      </c>
      <c r="B416" t="s">
        <v>82</v>
      </c>
      <c r="C416" t="s">
        <v>37</v>
      </c>
      <c r="D416" t="s">
        <v>38</v>
      </c>
      <c r="E416">
        <v>2019</v>
      </c>
      <c r="F416" t="s">
        <v>57</v>
      </c>
      <c r="G416" t="s">
        <v>61</v>
      </c>
      <c r="H416">
        <v>62.821844593288297</v>
      </c>
      <c r="J416" t="s">
        <v>67</v>
      </c>
      <c r="K416" t="s">
        <v>68</v>
      </c>
    </row>
    <row r="417" spans="1:11" x14ac:dyDescent="0.25">
      <c r="A417" t="s">
        <v>81</v>
      </c>
      <c r="B417" t="s">
        <v>82</v>
      </c>
      <c r="C417" t="s">
        <v>37</v>
      </c>
      <c r="D417" t="s">
        <v>38</v>
      </c>
      <c r="E417">
        <v>2020</v>
      </c>
      <c r="F417" t="s">
        <v>57</v>
      </c>
      <c r="G417" t="s">
        <v>61</v>
      </c>
      <c r="H417">
        <v>55.958858432049901</v>
      </c>
      <c r="I417">
        <v>-6.8629861612383962</v>
      </c>
      <c r="J417" t="s">
        <v>67</v>
      </c>
      <c r="K417" t="s">
        <v>68</v>
      </c>
    </row>
    <row r="418" spans="1:11" x14ac:dyDescent="0.25">
      <c r="A418" t="s">
        <v>81</v>
      </c>
      <c r="B418" t="s">
        <v>82</v>
      </c>
      <c r="C418" t="s">
        <v>37</v>
      </c>
      <c r="D418" t="s">
        <v>38</v>
      </c>
      <c r="E418">
        <v>2021</v>
      </c>
      <c r="F418" t="s">
        <v>57</v>
      </c>
      <c r="G418" t="s">
        <v>61</v>
      </c>
      <c r="H418">
        <v>50.628591260057398</v>
      </c>
      <c r="I418">
        <v>-5.330267171992503</v>
      </c>
      <c r="J418" t="s">
        <v>67</v>
      </c>
      <c r="K418" t="s">
        <v>68</v>
      </c>
    </row>
    <row r="419" spans="1:11" x14ac:dyDescent="0.25">
      <c r="A419" t="s">
        <v>81</v>
      </c>
      <c r="B419" t="s">
        <v>82</v>
      </c>
      <c r="C419" t="s">
        <v>37</v>
      </c>
      <c r="D419" t="s">
        <v>38</v>
      </c>
      <c r="E419">
        <v>2022</v>
      </c>
      <c r="F419" t="s">
        <v>57</v>
      </c>
      <c r="G419" t="s">
        <v>61</v>
      </c>
      <c r="H419">
        <v>46.912863354389103</v>
      </c>
      <c r="I419">
        <v>-3.7157279056682953</v>
      </c>
      <c r="J419" t="s">
        <v>67</v>
      </c>
      <c r="K419" t="s">
        <v>68</v>
      </c>
    </row>
    <row r="420" spans="1:11" x14ac:dyDescent="0.25">
      <c r="A420" t="s">
        <v>81</v>
      </c>
      <c r="B420" t="s">
        <v>82</v>
      </c>
      <c r="C420" t="s">
        <v>37</v>
      </c>
      <c r="D420" t="s">
        <v>38</v>
      </c>
      <c r="E420">
        <v>2023</v>
      </c>
      <c r="F420" t="s">
        <v>57</v>
      </c>
      <c r="G420" t="s">
        <v>61</v>
      </c>
      <c r="H420">
        <v>46.777321628501397</v>
      </c>
      <c r="I420">
        <v>-0.13554172588770541</v>
      </c>
      <c r="J420" t="s">
        <v>67</v>
      </c>
      <c r="K420" t="s">
        <v>68</v>
      </c>
    </row>
    <row r="421" spans="1:11" x14ac:dyDescent="0.25">
      <c r="A421" t="s">
        <v>81</v>
      </c>
      <c r="B421" t="s">
        <v>82</v>
      </c>
      <c r="C421" t="s">
        <v>37</v>
      </c>
      <c r="D421" t="s">
        <v>38</v>
      </c>
      <c r="E421">
        <v>2024</v>
      </c>
      <c r="F421" t="s">
        <v>57</v>
      </c>
      <c r="G421" t="s">
        <v>61</v>
      </c>
      <c r="H421">
        <v>45.961485438784202</v>
      </c>
      <c r="I421">
        <v>-0.81583618971719574</v>
      </c>
      <c r="J421" t="s">
        <v>67</v>
      </c>
      <c r="K421" t="s">
        <v>68</v>
      </c>
    </row>
    <row r="422" spans="1:11" x14ac:dyDescent="0.25">
      <c r="A422" t="s">
        <v>81</v>
      </c>
      <c r="B422" t="s">
        <v>82</v>
      </c>
      <c r="C422" t="s">
        <v>39</v>
      </c>
      <c r="D422" t="s">
        <v>40</v>
      </c>
      <c r="E422">
        <v>2019</v>
      </c>
      <c r="F422" t="s">
        <v>57</v>
      </c>
      <c r="G422" t="s">
        <v>61</v>
      </c>
      <c r="H422">
        <v>83.347889033628505</v>
      </c>
      <c r="J422" t="s">
        <v>67</v>
      </c>
      <c r="K422" t="s">
        <v>68</v>
      </c>
    </row>
    <row r="423" spans="1:11" x14ac:dyDescent="0.25">
      <c r="A423" t="s">
        <v>81</v>
      </c>
      <c r="B423" t="s">
        <v>82</v>
      </c>
      <c r="C423" t="s">
        <v>39</v>
      </c>
      <c r="D423" t="s">
        <v>40</v>
      </c>
      <c r="E423">
        <v>2020</v>
      </c>
      <c r="F423" t="s">
        <v>57</v>
      </c>
      <c r="G423" t="s">
        <v>61</v>
      </c>
      <c r="H423">
        <v>81.986926565130702</v>
      </c>
      <c r="I423">
        <v>-1.360962468497803</v>
      </c>
      <c r="J423" t="s">
        <v>67</v>
      </c>
      <c r="K423" t="s">
        <v>68</v>
      </c>
    </row>
    <row r="424" spans="1:11" x14ac:dyDescent="0.25">
      <c r="A424" t="s">
        <v>81</v>
      </c>
      <c r="B424" t="s">
        <v>82</v>
      </c>
      <c r="C424" t="s">
        <v>39</v>
      </c>
      <c r="D424" t="s">
        <v>40</v>
      </c>
      <c r="E424">
        <v>2021</v>
      </c>
      <c r="F424" t="s">
        <v>57</v>
      </c>
      <c r="G424" t="s">
        <v>61</v>
      </c>
      <c r="H424">
        <v>80.107030611476205</v>
      </c>
      <c r="I424">
        <v>-1.879895953654497</v>
      </c>
      <c r="J424" t="s">
        <v>67</v>
      </c>
      <c r="K424" t="s">
        <v>68</v>
      </c>
    </row>
    <row r="425" spans="1:11" x14ac:dyDescent="0.25">
      <c r="A425" t="s">
        <v>81</v>
      </c>
      <c r="B425" t="s">
        <v>82</v>
      </c>
      <c r="C425" t="s">
        <v>39</v>
      </c>
      <c r="D425" t="s">
        <v>40</v>
      </c>
      <c r="E425">
        <v>2022</v>
      </c>
      <c r="F425" t="s">
        <v>57</v>
      </c>
      <c r="G425" t="s">
        <v>61</v>
      </c>
      <c r="H425">
        <v>78.721392661332601</v>
      </c>
      <c r="I425">
        <v>-1.3856379501436038</v>
      </c>
      <c r="J425" t="s">
        <v>67</v>
      </c>
      <c r="K425" t="s">
        <v>68</v>
      </c>
    </row>
    <row r="426" spans="1:11" x14ac:dyDescent="0.25">
      <c r="A426" t="s">
        <v>81</v>
      </c>
      <c r="B426" t="s">
        <v>82</v>
      </c>
      <c r="C426" t="s">
        <v>39</v>
      </c>
      <c r="D426" t="s">
        <v>40</v>
      </c>
      <c r="E426">
        <v>2023</v>
      </c>
      <c r="F426" t="s">
        <v>57</v>
      </c>
      <c r="G426" t="s">
        <v>61</v>
      </c>
      <c r="H426">
        <v>79.372019688171406</v>
      </c>
      <c r="I426">
        <v>0.65062702683880502</v>
      </c>
      <c r="J426" t="s">
        <v>67</v>
      </c>
      <c r="K426" t="s">
        <v>68</v>
      </c>
    </row>
    <row r="427" spans="1:11" x14ac:dyDescent="0.25">
      <c r="A427" t="s">
        <v>81</v>
      </c>
      <c r="B427" t="s">
        <v>82</v>
      </c>
      <c r="C427" t="s">
        <v>39</v>
      </c>
      <c r="D427" t="s">
        <v>40</v>
      </c>
      <c r="E427">
        <v>2024</v>
      </c>
      <c r="F427" t="s">
        <v>57</v>
      </c>
      <c r="G427" t="s">
        <v>61</v>
      </c>
      <c r="H427">
        <v>81.094631641375798</v>
      </c>
      <c r="I427">
        <v>1.7226119532043924</v>
      </c>
      <c r="J427" t="s">
        <v>67</v>
      </c>
      <c r="K427" t="s">
        <v>68</v>
      </c>
    </row>
    <row r="428" spans="1:11" x14ac:dyDescent="0.25">
      <c r="A428" t="s">
        <v>81</v>
      </c>
      <c r="B428" t="s">
        <v>82</v>
      </c>
      <c r="C428" t="s">
        <v>55</v>
      </c>
      <c r="D428" t="s">
        <v>56</v>
      </c>
      <c r="E428">
        <v>2019</v>
      </c>
      <c r="F428" t="s">
        <v>57</v>
      </c>
      <c r="G428" t="s">
        <v>61</v>
      </c>
      <c r="H428">
        <v>65.676541480571203</v>
      </c>
      <c r="J428" t="s">
        <v>67</v>
      </c>
      <c r="K428" t="s">
        <v>68</v>
      </c>
    </row>
    <row r="429" spans="1:11" x14ac:dyDescent="0.25">
      <c r="A429" t="s">
        <v>81</v>
      </c>
      <c r="B429" t="s">
        <v>82</v>
      </c>
      <c r="C429" t="s">
        <v>55</v>
      </c>
      <c r="D429" t="s">
        <v>56</v>
      </c>
      <c r="E429">
        <v>2020</v>
      </c>
      <c r="F429" t="s">
        <v>57</v>
      </c>
      <c r="G429" t="s">
        <v>61</v>
      </c>
      <c r="H429">
        <v>57.463303144523898</v>
      </c>
      <c r="I429">
        <v>-8.2132383360473042</v>
      </c>
      <c r="J429" t="s">
        <v>67</v>
      </c>
      <c r="K429" t="s">
        <v>68</v>
      </c>
    </row>
    <row r="430" spans="1:11" x14ac:dyDescent="0.25">
      <c r="A430" t="s">
        <v>81</v>
      </c>
      <c r="B430" t="s">
        <v>82</v>
      </c>
      <c r="C430" t="s">
        <v>55</v>
      </c>
      <c r="D430" t="s">
        <v>56</v>
      </c>
      <c r="E430">
        <v>2021</v>
      </c>
      <c r="F430" t="s">
        <v>57</v>
      </c>
      <c r="G430" t="s">
        <v>61</v>
      </c>
      <c r="H430">
        <v>56.075670009223899</v>
      </c>
      <c r="I430">
        <v>-1.3876331352999998</v>
      </c>
      <c r="J430" t="s">
        <v>67</v>
      </c>
      <c r="K430" t="s">
        <v>68</v>
      </c>
    </row>
    <row r="431" spans="1:11" x14ac:dyDescent="0.25">
      <c r="A431" t="s">
        <v>81</v>
      </c>
      <c r="B431" t="s">
        <v>82</v>
      </c>
      <c r="C431" t="s">
        <v>55</v>
      </c>
      <c r="D431" t="s">
        <v>56</v>
      </c>
      <c r="E431">
        <v>2022</v>
      </c>
      <c r="F431" t="s">
        <v>57</v>
      </c>
      <c r="G431" t="s">
        <v>61</v>
      </c>
      <c r="H431">
        <v>53.649395262464999</v>
      </c>
      <c r="I431">
        <v>-2.4262747467588994</v>
      </c>
      <c r="J431" t="s">
        <v>67</v>
      </c>
      <c r="K431" t="s">
        <v>68</v>
      </c>
    </row>
    <row r="432" spans="1:11" x14ac:dyDescent="0.25">
      <c r="A432" t="s">
        <v>81</v>
      </c>
      <c r="B432" t="s">
        <v>82</v>
      </c>
      <c r="C432" t="s">
        <v>55</v>
      </c>
      <c r="D432" t="s">
        <v>56</v>
      </c>
      <c r="E432">
        <v>2023</v>
      </c>
      <c r="F432" t="s">
        <v>57</v>
      </c>
      <c r="G432" t="s">
        <v>61</v>
      </c>
      <c r="H432">
        <v>54.160041642950802</v>
      </c>
      <c r="I432">
        <v>0.51064638048580235</v>
      </c>
      <c r="J432" t="s">
        <v>67</v>
      </c>
      <c r="K432" t="s">
        <v>68</v>
      </c>
    </row>
    <row r="433" spans="1:20" x14ac:dyDescent="0.25">
      <c r="A433" t="s">
        <v>81</v>
      </c>
      <c r="B433" t="s">
        <v>82</v>
      </c>
      <c r="C433" t="s">
        <v>55</v>
      </c>
      <c r="D433" t="s">
        <v>56</v>
      </c>
      <c r="E433">
        <v>2024</v>
      </c>
      <c r="F433" t="s">
        <v>57</v>
      </c>
      <c r="G433" t="s">
        <v>61</v>
      </c>
      <c r="J433" t="s">
        <v>67</v>
      </c>
      <c r="K433" t="s">
        <v>68</v>
      </c>
    </row>
    <row r="434" spans="1:20" x14ac:dyDescent="0.25">
      <c r="A434" t="s">
        <v>81</v>
      </c>
      <c r="B434" t="s">
        <v>82</v>
      </c>
      <c r="C434" t="s">
        <v>41</v>
      </c>
      <c r="D434" t="s">
        <v>42</v>
      </c>
      <c r="E434">
        <v>2019</v>
      </c>
      <c r="F434" t="s">
        <v>57</v>
      </c>
      <c r="G434" t="s">
        <v>61</v>
      </c>
      <c r="H434">
        <v>111.056481764636</v>
      </c>
      <c r="J434" t="s">
        <v>67</v>
      </c>
      <c r="K434" t="s">
        <v>68</v>
      </c>
    </row>
    <row r="435" spans="1:20" x14ac:dyDescent="0.25">
      <c r="A435" t="s">
        <v>81</v>
      </c>
      <c r="B435" t="s">
        <v>82</v>
      </c>
      <c r="C435" t="s">
        <v>41</v>
      </c>
      <c r="D435" t="s">
        <v>42</v>
      </c>
      <c r="E435">
        <v>2020</v>
      </c>
      <c r="F435" t="s">
        <v>57</v>
      </c>
      <c r="G435" t="s">
        <v>61</v>
      </c>
      <c r="H435">
        <v>99.673885544265701</v>
      </c>
      <c r="I435">
        <v>-11.382596220370303</v>
      </c>
      <c r="J435" t="s">
        <v>67</v>
      </c>
      <c r="K435" t="s">
        <v>68</v>
      </c>
    </row>
    <row r="436" spans="1:20" x14ac:dyDescent="0.25">
      <c r="A436" t="s">
        <v>81</v>
      </c>
      <c r="B436" t="s">
        <v>82</v>
      </c>
      <c r="C436" t="s">
        <v>41</v>
      </c>
      <c r="D436" t="s">
        <v>42</v>
      </c>
      <c r="E436">
        <v>2021</v>
      </c>
      <c r="F436" t="s">
        <v>57</v>
      </c>
      <c r="G436" t="s">
        <v>61</v>
      </c>
      <c r="H436">
        <v>97.021044398347399</v>
      </c>
      <c r="I436">
        <v>-2.6528411459183019</v>
      </c>
      <c r="J436" t="s">
        <v>67</v>
      </c>
      <c r="K436" t="s">
        <v>68</v>
      </c>
    </row>
    <row r="437" spans="1:20" x14ac:dyDescent="0.25">
      <c r="A437" t="s">
        <v>81</v>
      </c>
      <c r="B437" t="s">
        <v>82</v>
      </c>
      <c r="C437" t="s">
        <v>41</v>
      </c>
      <c r="D437" t="s">
        <v>42</v>
      </c>
      <c r="E437">
        <v>2022</v>
      </c>
      <c r="F437" t="s">
        <v>57</v>
      </c>
      <c r="G437" t="s">
        <v>61</v>
      </c>
      <c r="H437">
        <v>90.328046323238993</v>
      </c>
      <c r="I437">
        <v>-6.6929980751084059</v>
      </c>
      <c r="J437" t="s">
        <v>67</v>
      </c>
      <c r="K437" t="s">
        <v>68</v>
      </c>
    </row>
    <row r="438" spans="1:20" x14ac:dyDescent="0.25">
      <c r="A438" t="s">
        <v>81</v>
      </c>
      <c r="B438" t="s">
        <v>82</v>
      </c>
      <c r="C438" t="s">
        <v>41</v>
      </c>
      <c r="D438" t="s">
        <v>42</v>
      </c>
      <c r="E438">
        <v>2023</v>
      </c>
      <c r="F438" t="s">
        <v>57</v>
      </c>
      <c r="G438" t="s">
        <v>61</v>
      </c>
      <c r="H438">
        <v>84.342547096485106</v>
      </c>
      <c r="I438">
        <v>-5.9854992267538876</v>
      </c>
      <c r="J438" t="s">
        <v>67</v>
      </c>
      <c r="K438" t="s">
        <v>68</v>
      </c>
    </row>
    <row r="439" spans="1:20" x14ac:dyDescent="0.25">
      <c r="A439" t="s">
        <v>81</v>
      </c>
      <c r="B439" t="s">
        <v>82</v>
      </c>
      <c r="C439" t="s">
        <v>41</v>
      </c>
      <c r="D439" t="s">
        <v>42</v>
      </c>
      <c r="E439">
        <v>2024</v>
      </c>
      <c r="F439" t="s">
        <v>57</v>
      </c>
      <c r="G439" t="s">
        <v>61</v>
      </c>
      <c r="H439">
        <v>77.741852882670401</v>
      </c>
      <c r="I439">
        <v>-6.6006942138147053</v>
      </c>
      <c r="J439" t="s">
        <v>67</v>
      </c>
      <c r="K439" t="s">
        <v>68</v>
      </c>
    </row>
    <row r="440" spans="1:20" x14ac:dyDescent="0.25">
      <c r="A440" t="s">
        <v>81</v>
      </c>
      <c r="B440" t="s">
        <v>82</v>
      </c>
      <c r="C440" t="s">
        <v>9</v>
      </c>
      <c r="D440" t="s">
        <v>10</v>
      </c>
      <c r="E440">
        <v>2019</v>
      </c>
      <c r="F440" t="s">
        <v>65</v>
      </c>
      <c r="G440" t="s">
        <v>66</v>
      </c>
      <c r="H440">
        <v>13.3407233636668</v>
      </c>
      <c r="J440" t="s">
        <v>67</v>
      </c>
      <c r="K440" t="s">
        <v>68</v>
      </c>
    </row>
    <row r="441" spans="1:20" x14ac:dyDescent="0.25">
      <c r="A441" t="s">
        <v>81</v>
      </c>
      <c r="B441" t="s">
        <v>82</v>
      </c>
      <c r="C441" t="s">
        <v>9</v>
      </c>
      <c r="D441" t="s">
        <v>10</v>
      </c>
      <c r="E441">
        <v>2020</v>
      </c>
      <c r="F441" t="s">
        <v>65</v>
      </c>
      <c r="G441" t="s">
        <v>66</v>
      </c>
      <c r="H441">
        <v>13.134434665395201</v>
      </c>
      <c r="I441">
        <v>-0.20628869827159946</v>
      </c>
      <c r="J441" t="s">
        <v>67</v>
      </c>
      <c r="K441" t="s">
        <v>68</v>
      </c>
    </row>
    <row r="442" spans="1:20" x14ac:dyDescent="0.25">
      <c r="A442" t="s">
        <v>81</v>
      </c>
      <c r="B442" t="s">
        <v>82</v>
      </c>
      <c r="C442" t="s">
        <v>9</v>
      </c>
      <c r="D442" t="s">
        <v>10</v>
      </c>
      <c r="E442">
        <v>2021</v>
      </c>
      <c r="F442" t="s">
        <v>65</v>
      </c>
      <c r="G442" t="s">
        <v>66</v>
      </c>
      <c r="H442">
        <v>13.064124958355199</v>
      </c>
      <c r="I442">
        <v>-7.0309707040001612E-2</v>
      </c>
      <c r="J442" t="s">
        <v>67</v>
      </c>
      <c r="K442" t="s">
        <v>68</v>
      </c>
    </row>
    <row r="443" spans="1:20" x14ac:dyDescent="0.25">
      <c r="A443" t="s">
        <v>81</v>
      </c>
      <c r="B443" t="s">
        <v>82</v>
      </c>
      <c r="C443" t="s">
        <v>9</v>
      </c>
      <c r="D443" t="s">
        <v>10</v>
      </c>
      <c r="E443">
        <v>2022</v>
      </c>
      <c r="F443" t="s">
        <v>65</v>
      </c>
      <c r="G443" t="s">
        <v>66</v>
      </c>
      <c r="H443">
        <v>12.997021318764</v>
      </c>
      <c r="I443">
        <v>-6.7103639591199027E-2</v>
      </c>
      <c r="J443" t="s">
        <v>67</v>
      </c>
      <c r="K443" t="s">
        <v>68</v>
      </c>
    </row>
    <row r="444" spans="1:20" x14ac:dyDescent="0.25">
      <c r="A444" t="s">
        <v>81</v>
      </c>
      <c r="B444" t="s">
        <v>82</v>
      </c>
      <c r="C444" t="s">
        <v>9</v>
      </c>
      <c r="D444" t="s">
        <v>10</v>
      </c>
      <c r="E444">
        <v>2023</v>
      </c>
      <c r="F444" t="s">
        <v>65</v>
      </c>
      <c r="G444" t="s">
        <v>66</v>
      </c>
      <c r="H444">
        <v>12.6068449156569</v>
      </c>
      <c r="I444">
        <v>-0.3901764031071</v>
      </c>
      <c r="J444" t="s">
        <v>67</v>
      </c>
      <c r="K444" t="s">
        <v>68</v>
      </c>
      <c r="S444" t="s">
        <v>81</v>
      </c>
      <c r="T444" t="s">
        <v>82</v>
      </c>
    </row>
    <row r="445" spans="1:20" x14ac:dyDescent="0.25">
      <c r="A445" t="s">
        <v>81</v>
      </c>
      <c r="B445" t="s">
        <v>82</v>
      </c>
      <c r="C445" t="s">
        <v>9</v>
      </c>
      <c r="D445" t="s">
        <v>10</v>
      </c>
      <c r="E445">
        <v>2024</v>
      </c>
      <c r="F445" t="s">
        <v>65</v>
      </c>
      <c r="G445" t="s">
        <v>66</v>
      </c>
      <c r="H445">
        <v>12.301812963983799</v>
      </c>
      <c r="I445">
        <v>-0.30503195167310082</v>
      </c>
      <c r="J445" t="s">
        <v>67</v>
      </c>
      <c r="K445" t="s">
        <v>68</v>
      </c>
    </row>
    <row r="446" spans="1:20" x14ac:dyDescent="0.25">
      <c r="A446" t="s">
        <v>81</v>
      </c>
      <c r="B446" t="s">
        <v>82</v>
      </c>
      <c r="C446" t="s">
        <v>11</v>
      </c>
      <c r="D446" t="s">
        <v>12</v>
      </c>
      <c r="E446">
        <v>2019</v>
      </c>
      <c r="F446" t="s">
        <v>65</v>
      </c>
      <c r="G446" t="s">
        <v>66</v>
      </c>
      <c r="H446">
        <v>24.612933475394701</v>
      </c>
      <c r="J446" t="s">
        <v>67</v>
      </c>
      <c r="K446" t="s">
        <v>68</v>
      </c>
    </row>
    <row r="447" spans="1:20" x14ac:dyDescent="0.25">
      <c r="A447" t="s">
        <v>81</v>
      </c>
      <c r="B447" t="s">
        <v>82</v>
      </c>
      <c r="C447" t="s">
        <v>11</v>
      </c>
      <c r="D447" t="s">
        <v>12</v>
      </c>
      <c r="E447">
        <v>2020</v>
      </c>
      <c r="F447" t="s">
        <v>65</v>
      </c>
      <c r="G447" t="s">
        <v>66</v>
      </c>
      <c r="H447">
        <v>23.304329942588399</v>
      </c>
      <c r="I447">
        <v>-1.3086035328063019</v>
      </c>
      <c r="J447" t="s">
        <v>67</v>
      </c>
      <c r="K447" t="s">
        <v>68</v>
      </c>
    </row>
    <row r="448" spans="1:20" x14ac:dyDescent="0.25">
      <c r="A448" t="s">
        <v>81</v>
      </c>
      <c r="B448" t="s">
        <v>82</v>
      </c>
      <c r="C448" t="s">
        <v>11</v>
      </c>
      <c r="D448" t="s">
        <v>12</v>
      </c>
      <c r="E448">
        <v>2021</v>
      </c>
      <c r="F448" t="s">
        <v>65</v>
      </c>
      <c r="G448" t="s">
        <v>66</v>
      </c>
      <c r="H448">
        <v>21.089780901086701</v>
      </c>
      <c r="I448">
        <v>-2.214549041501698</v>
      </c>
      <c r="J448" t="s">
        <v>67</v>
      </c>
      <c r="K448" t="s">
        <v>68</v>
      </c>
    </row>
    <row r="449" spans="1:11" x14ac:dyDescent="0.25">
      <c r="A449" t="s">
        <v>81</v>
      </c>
      <c r="B449" t="s">
        <v>82</v>
      </c>
      <c r="C449" t="s">
        <v>11</v>
      </c>
      <c r="D449" t="s">
        <v>12</v>
      </c>
      <c r="E449">
        <v>2022</v>
      </c>
      <c r="F449" t="s">
        <v>65</v>
      </c>
      <c r="G449" t="s">
        <v>66</v>
      </c>
      <c r="H449">
        <v>19.317805497295499</v>
      </c>
      <c r="I449">
        <v>-1.7719754037912026</v>
      </c>
      <c r="J449" t="s">
        <v>67</v>
      </c>
      <c r="K449" t="s">
        <v>68</v>
      </c>
    </row>
    <row r="450" spans="1:11" x14ac:dyDescent="0.25">
      <c r="A450" t="s">
        <v>81</v>
      </c>
      <c r="B450" t="s">
        <v>82</v>
      </c>
      <c r="C450" t="s">
        <v>11</v>
      </c>
      <c r="D450" t="s">
        <v>12</v>
      </c>
      <c r="E450">
        <v>2023</v>
      </c>
      <c r="F450" t="s">
        <v>65</v>
      </c>
      <c r="G450" t="s">
        <v>66</v>
      </c>
      <c r="H450">
        <v>16.862568147158001</v>
      </c>
      <c r="I450">
        <v>-2.455237350137498</v>
      </c>
      <c r="J450" t="s">
        <v>67</v>
      </c>
      <c r="K450" t="s">
        <v>68</v>
      </c>
    </row>
    <row r="451" spans="1:11" x14ac:dyDescent="0.25">
      <c r="A451" t="s">
        <v>81</v>
      </c>
      <c r="B451" t="s">
        <v>82</v>
      </c>
      <c r="C451" t="s">
        <v>11</v>
      </c>
      <c r="D451" t="s">
        <v>12</v>
      </c>
      <c r="E451">
        <v>2024</v>
      </c>
      <c r="F451" t="s">
        <v>65</v>
      </c>
      <c r="G451" t="s">
        <v>66</v>
      </c>
      <c r="H451">
        <v>15.4624175561434</v>
      </c>
      <c r="I451">
        <v>-1.4001505910146008</v>
      </c>
      <c r="J451" t="s">
        <v>67</v>
      </c>
      <c r="K451" t="s">
        <v>68</v>
      </c>
    </row>
    <row r="452" spans="1:11" x14ac:dyDescent="0.25">
      <c r="A452" t="s">
        <v>81</v>
      </c>
      <c r="B452" t="s">
        <v>82</v>
      </c>
      <c r="C452" t="s">
        <v>47</v>
      </c>
      <c r="D452" t="s">
        <v>48</v>
      </c>
      <c r="E452">
        <v>2019</v>
      </c>
      <c r="F452" t="s">
        <v>65</v>
      </c>
      <c r="G452" t="s">
        <v>66</v>
      </c>
      <c r="H452">
        <v>19.822625460348799</v>
      </c>
      <c r="J452" t="s">
        <v>67</v>
      </c>
      <c r="K452" t="s">
        <v>68</v>
      </c>
    </row>
    <row r="453" spans="1:11" x14ac:dyDescent="0.25">
      <c r="A453" t="s">
        <v>81</v>
      </c>
      <c r="B453" t="s">
        <v>82</v>
      </c>
      <c r="C453" t="s">
        <v>47</v>
      </c>
      <c r="D453" t="s">
        <v>48</v>
      </c>
      <c r="E453">
        <v>2020</v>
      </c>
      <c r="F453" t="s">
        <v>65</v>
      </c>
      <c r="G453" t="s">
        <v>66</v>
      </c>
      <c r="H453">
        <v>17.382972318676501</v>
      </c>
      <c r="I453">
        <v>-2.4396531416722986</v>
      </c>
      <c r="J453" t="s">
        <v>67</v>
      </c>
      <c r="K453" t="s">
        <v>68</v>
      </c>
    </row>
    <row r="454" spans="1:11" x14ac:dyDescent="0.25">
      <c r="A454" t="s">
        <v>81</v>
      </c>
      <c r="B454" t="s">
        <v>82</v>
      </c>
      <c r="C454" t="s">
        <v>47</v>
      </c>
      <c r="D454" t="s">
        <v>48</v>
      </c>
      <c r="E454">
        <v>2021</v>
      </c>
      <c r="F454" t="s">
        <v>65</v>
      </c>
      <c r="G454" t="s">
        <v>66</v>
      </c>
      <c r="H454">
        <v>14.9074748220162</v>
      </c>
      <c r="I454">
        <v>-2.4754974966603012</v>
      </c>
      <c r="J454" t="s">
        <v>67</v>
      </c>
      <c r="K454" t="s">
        <v>68</v>
      </c>
    </row>
    <row r="455" spans="1:11" x14ac:dyDescent="0.25">
      <c r="A455" t="s">
        <v>81</v>
      </c>
      <c r="B455" t="s">
        <v>82</v>
      </c>
      <c r="C455" t="s">
        <v>47</v>
      </c>
      <c r="D455" t="s">
        <v>48</v>
      </c>
      <c r="E455">
        <v>2022</v>
      </c>
      <c r="F455" t="s">
        <v>65</v>
      </c>
      <c r="G455" t="s">
        <v>66</v>
      </c>
      <c r="H455">
        <v>14.427008657015699</v>
      </c>
      <c r="I455">
        <v>-0.48046616500050021</v>
      </c>
      <c r="J455" t="s">
        <v>67</v>
      </c>
      <c r="K455" t="s">
        <v>68</v>
      </c>
    </row>
    <row r="456" spans="1:11" x14ac:dyDescent="0.25">
      <c r="A456" t="s">
        <v>81</v>
      </c>
      <c r="B456" t="s">
        <v>82</v>
      </c>
      <c r="C456" t="s">
        <v>47</v>
      </c>
      <c r="D456" t="s">
        <v>48</v>
      </c>
      <c r="E456">
        <v>2023</v>
      </c>
      <c r="F456" t="s">
        <v>65</v>
      </c>
      <c r="G456" t="s">
        <v>66</v>
      </c>
      <c r="H456">
        <v>12.837111149030999</v>
      </c>
      <c r="I456">
        <v>-1.5898975079847002</v>
      </c>
      <c r="J456" t="s">
        <v>67</v>
      </c>
      <c r="K456" t="s">
        <v>68</v>
      </c>
    </row>
    <row r="457" spans="1:11" x14ac:dyDescent="0.25">
      <c r="A457" t="s">
        <v>81</v>
      </c>
      <c r="B457" t="s">
        <v>82</v>
      </c>
      <c r="C457" t="s">
        <v>47</v>
      </c>
      <c r="D457" t="s">
        <v>48</v>
      </c>
      <c r="E457">
        <v>2024</v>
      </c>
      <c r="F457" t="s">
        <v>65</v>
      </c>
      <c r="G457" t="s">
        <v>66</v>
      </c>
      <c r="H457">
        <v>12.390403013346001</v>
      </c>
      <c r="I457">
        <v>-0.44670813568499845</v>
      </c>
      <c r="J457" t="s">
        <v>67</v>
      </c>
      <c r="K457" t="s">
        <v>68</v>
      </c>
    </row>
    <row r="458" spans="1:11" x14ac:dyDescent="0.25">
      <c r="A458" t="s">
        <v>81</v>
      </c>
      <c r="B458" t="s">
        <v>82</v>
      </c>
      <c r="C458" t="s">
        <v>13</v>
      </c>
      <c r="D458" t="s">
        <v>14</v>
      </c>
      <c r="E458">
        <v>2019</v>
      </c>
      <c r="F458" t="s">
        <v>65</v>
      </c>
      <c r="G458" t="s">
        <v>66</v>
      </c>
      <c r="H458">
        <v>19.038782033808602</v>
      </c>
      <c r="J458" t="s">
        <v>67</v>
      </c>
      <c r="K458" t="s">
        <v>68</v>
      </c>
    </row>
    <row r="459" spans="1:11" x14ac:dyDescent="0.25">
      <c r="A459" t="s">
        <v>81</v>
      </c>
      <c r="B459" t="s">
        <v>82</v>
      </c>
      <c r="C459" t="s">
        <v>13</v>
      </c>
      <c r="D459" t="s">
        <v>14</v>
      </c>
      <c r="E459">
        <v>2020</v>
      </c>
      <c r="F459" t="s">
        <v>65</v>
      </c>
      <c r="G459" t="s">
        <v>66</v>
      </c>
      <c r="H459">
        <v>18.307255437903699</v>
      </c>
      <c r="I459">
        <v>-0.73152659590490288</v>
      </c>
      <c r="J459" t="s">
        <v>67</v>
      </c>
      <c r="K459" t="s">
        <v>68</v>
      </c>
    </row>
    <row r="460" spans="1:11" x14ac:dyDescent="0.25">
      <c r="A460" t="s">
        <v>81</v>
      </c>
      <c r="B460" t="s">
        <v>82</v>
      </c>
      <c r="C460" t="s">
        <v>13</v>
      </c>
      <c r="D460" t="s">
        <v>14</v>
      </c>
      <c r="E460">
        <v>2021</v>
      </c>
      <c r="F460" t="s">
        <v>65</v>
      </c>
      <c r="G460" t="s">
        <v>66</v>
      </c>
      <c r="H460">
        <v>17.551932261866401</v>
      </c>
      <c r="I460">
        <v>-0.75532317603729737</v>
      </c>
      <c r="J460" t="s">
        <v>67</v>
      </c>
      <c r="K460" t="s">
        <v>68</v>
      </c>
    </row>
    <row r="461" spans="1:11" x14ac:dyDescent="0.25">
      <c r="A461" t="s">
        <v>81</v>
      </c>
      <c r="B461" t="s">
        <v>82</v>
      </c>
      <c r="C461" t="s">
        <v>13</v>
      </c>
      <c r="D461" t="s">
        <v>14</v>
      </c>
      <c r="E461">
        <v>2022</v>
      </c>
      <c r="F461" t="s">
        <v>65</v>
      </c>
      <c r="G461" t="s">
        <v>66</v>
      </c>
      <c r="H461">
        <v>16.912833011733401</v>
      </c>
      <c r="I461">
        <v>-0.6390992501330004</v>
      </c>
      <c r="J461" t="s">
        <v>67</v>
      </c>
      <c r="K461" t="s">
        <v>68</v>
      </c>
    </row>
    <row r="462" spans="1:11" x14ac:dyDescent="0.25">
      <c r="A462" t="s">
        <v>81</v>
      </c>
      <c r="B462" t="s">
        <v>82</v>
      </c>
      <c r="C462" t="s">
        <v>13</v>
      </c>
      <c r="D462" t="s">
        <v>14</v>
      </c>
      <c r="E462">
        <v>2023</v>
      </c>
      <c r="F462" t="s">
        <v>65</v>
      </c>
      <c r="G462" t="s">
        <v>66</v>
      </c>
      <c r="H462">
        <v>16.394178858562899</v>
      </c>
      <c r="I462">
        <v>-0.51865415317050179</v>
      </c>
      <c r="J462" t="s">
        <v>67</v>
      </c>
      <c r="K462" t="s">
        <v>68</v>
      </c>
    </row>
    <row r="463" spans="1:11" x14ac:dyDescent="0.25">
      <c r="A463" t="s">
        <v>81</v>
      </c>
      <c r="B463" t="s">
        <v>82</v>
      </c>
      <c r="C463" t="s">
        <v>13</v>
      </c>
      <c r="D463" t="s">
        <v>14</v>
      </c>
      <c r="E463">
        <v>2024</v>
      </c>
      <c r="F463" t="s">
        <v>65</v>
      </c>
      <c r="G463" t="s">
        <v>66</v>
      </c>
      <c r="H463">
        <v>15.8294859679319</v>
      </c>
      <c r="I463">
        <v>-0.56469289063099914</v>
      </c>
      <c r="J463" t="s">
        <v>67</v>
      </c>
      <c r="K463" t="s">
        <v>68</v>
      </c>
    </row>
    <row r="464" spans="1:11" x14ac:dyDescent="0.25">
      <c r="A464" t="s">
        <v>81</v>
      </c>
      <c r="B464" t="s">
        <v>82</v>
      </c>
      <c r="C464" t="s">
        <v>15</v>
      </c>
      <c r="D464" t="s">
        <v>16</v>
      </c>
      <c r="E464">
        <v>2019</v>
      </c>
      <c r="F464" t="s">
        <v>65</v>
      </c>
      <c r="G464" t="s">
        <v>66</v>
      </c>
      <c r="H464">
        <v>19.749564636319398</v>
      </c>
      <c r="J464" t="s">
        <v>67</v>
      </c>
      <c r="K464" t="s">
        <v>68</v>
      </c>
    </row>
    <row r="465" spans="1:11" x14ac:dyDescent="0.25">
      <c r="A465" t="s">
        <v>81</v>
      </c>
      <c r="B465" t="s">
        <v>82</v>
      </c>
      <c r="C465" t="s">
        <v>15</v>
      </c>
      <c r="D465" t="s">
        <v>16</v>
      </c>
      <c r="E465">
        <v>2020</v>
      </c>
      <c r="F465" t="s">
        <v>65</v>
      </c>
      <c r="G465" t="s">
        <v>66</v>
      </c>
      <c r="H465">
        <v>20.1837411259683</v>
      </c>
      <c r="I465">
        <v>0.43417648964890176</v>
      </c>
      <c r="J465" t="s">
        <v>67</v>
      </c>
      <c r="K465" t="s">
        <v>68</v>
      </c>
    </row>
    <row r="466" spans="1:11" x14ac:dyDescent="0.25">
      <c r="A466" t="s">
        <v>81</v>
      </c>
      <c r="B466" t="s">
        <v>82</v>
      </c>
      <c r="C466" t="s">
        <v>15</v>
      </c>
      <c r="D466" t="s">
        <v>16</v>
      </c>
      <c r="E466">
        <v>2021</v>
      </c>
      <c r="F466" t="s">
        <v>65</v>
      </c>
      <c r="G466" t="s">
        <v>66</v>
      </c>
      <c r="H466">
        <v>20.692291381230699</v>
      </c>
      <c r="I466">
        <v>0.50855025526239928</v>
      </c>
      <c r="J466" t="s">
        <v>67</v>
      </c>
      <c r="K466" t="s">
        <v>68</v>
      </c>
    </row>
    <row r="467" spans="1:11" x14ac:dyDescent="0.25">
      <c r="A467" t="s">
        <v>81</v>
      </c>
      <c r="B467" t="s">
        <v>82</v>
      </c>
      <c r="C467" t="s">
        <v>15</v>
      </c>
      <c r="D467" t="s">
        <v>16</v>
      </c>
      <c r="E467">
        <v>2022</v>
      </c>
      <c r="F467" t="s">
        <v>65</v>
      </c>
      <c r="G467" t="s">
        <v>66</v>
      </c>
      <c r="H467">
        <v>19.761444272666299</v>
      </c>
      <c r="I467">
        <v>-0.93084710856440012</v>
      </c>
      <c r="J467" t="s">
        <v>67</v>
      </c>
      <c r="K467" t="s">
        <v>68</v>
      </c>
    </row>
    <row r="468" spans="1:11" x14ac:dyDescent="0.25">
      <c r="A468" t="s">
        <v>81</v>
      </c>
      <c r="B468" t="s">
        <v>82</v>
      </c>
      <c r="C468" t="s">
        <v>15</v>
      </c>
      <c r="D468" t="s">
        <v>16</v>
      </c>
      <c r="E468">
        <v>2023</v>
      </c>
      <c r="F468" t="s">
        <v>65</v>
      </c>
      <c r="G468" t="s">
        <v>66</v>
      </c>
      <c r="H468">
        <v>19.0050407542067</v>
      </c>
      <c r="I468">
        <v>-0.75640351845959941</v>
      </c>
      <c r="J468" t="s">
        <v>67</v>
      </c>
      <c r="K468" t="s">
        <v>68</v>
      </c>
    </row>
    <row r="469" spans="1:11" x14ac:dyDescent="0.25">
      <c r="A469" t="s">
        <v>81</v>
      </c>
      <c r="B469" t="s">
        <v>82</v>
      </c>
      <c r="C469" t="s">
        <v>15</v>
      </c>
      <c r="D469" t="s">
        <v>16</v>
      </c>
      <c r="E469">
        <v>2024</v>
      </c>
      <c r="F469" t="s">
        <v>65</v>
      </c>
      <c r="G469" t="s">
        <v>66</v>
      </c>
      <c r="H469">
        <v>18.0374274622657</v>
      </c>
      <c r="I469">
        <v>-0.96761329194099943</v>
      </c>
      <c r="J469" t="s">
        <v>67</v>
      </c>
      <c r="K469" t="s">
        <v>68</v>
      </c>
    </row>
    <row r="470" spans="1:11" x14ac:dyDescent="0.25">
      <c r="A470" t="s">
        <v>81</v>
      </c>
      <c r="B470" t="s">
        <v>82</v>
      </c>
      <c r="C470" t="s">
        <v>17</v>
      </c>
      <c r="D470" t="s">
        <v>18</v>
      </c>
      <c r="E470">
        <v>2019</v>
      </c>
      <c r="F470" t="s">
        <v>65</v>
      </c>
      <c r="G470" t="s">
        <v>66</v>
      </c>
      <c r="H470">
        <v>8.8403594972660304</v>
      </c>
      <c r="J470" t="s">
        <v>67</v>
      </c>
      <c r="K470" t="s">
        <v>68</v>
      </c>
    </row>
    <row r="471" spans="1:11" x14ac:dyDescent="0.25">
      <c r="A471" t="s">
        <v>81</v>
      </c>
      <c r="B471" t="s">
        <v>82</v>
      </c>
      <c r="C471" t="s">
        <v>17</v>
      </c>
      <c r="D471" t="s">
        <v>18</v>
      </c>
      <c r="E471">
        <v>2020</v>
      </c>
      <c r="F471" t="s">
        <v>65</v>
      </c>
      <c r="G471" t="s">
        <v>66</v>
      </c>
      <c r="H471">
        <v>8.7636312557505107</v>
      </c>
      <c r="I471">
        <v>-7.6728241515519713E-2</v>
      </c>
      <c r="J471" t="s">
        <v>67</v>
      </c>
      <c r="K471" t="s">
        <v>68</v>
      </c>
    </row>
    <row r="472" spans="1:11" x14ac:dyDescent="0.25">
      <c r="A472" t="s">
        <v>81</v>
      </c>
      <c r="B472" t="s">
        <v>82</v>
      </c>
      <c r="C472" t="s">
        <v>17</v>
      </c>
      <c r="D472" t="s">
        <v>18</v>
      </c>
      <c r="E472">
        <v>2021</v>
      </c>
      <c r="F472" t="s">
        <v>65</v>
      </c>
      <c r="G472" t="s">
        <v>66</v>
      </c>
      <c r="H472">
        <v>8.7685917856361293</v>
      </c>
      <c r="I472">
        <v>4.9605298856185698E-3</v>
      </c>
      <c r="J472" t="s">
        <v>67</v>
      </c>
      <c r="K472" t="s">
        <v>68</v>
      </c>
    </row>
    <row r="473" spans="1:11" x14ac:dyDescent="0.25">
      <c r="A473" t="s">
        <v>81</v>
      </c>
      <c r="B473" t="s">
        <v>82</v>
      </c>
      <c r="C473" t="s">
        <v>17</v>
      </c>
      <c r="D473" t="s">
        <v>18</v>
      </c>
      <c r="E473">
        <v>2022</v>
      </c>
      <c r="F473" t="s">
        <v>65</v>
      </c>
      <c r="G473" t="s">
        <v>66</v>
      </c>
      <c r="H473">
        <v>8.7847140387821696</v>
      </c>
      <c r="I473">
        <v>1.6122253146040322E-2</v>
      </c>
      <c r="J473" t="s">
        <v>67</v>
      </c>
      <c r="K473" t="s">
        <v>68</v>
      </c>
    </row>
    <row r="474" spans="1:11" x14ac:dyDescent="0.25">
      <c r="A474" t="s">
        <v>81</v>
      </c>
      <c r="B474" t="s">
        <v>82</v>
      </c>
      <c r="C474" t="s">
        <v>17</v>
      </c>
      <c r="D474" t="s">
        <v>18</v>
      </c>
      <c r="E474">
        <v>2023</v>
      </c>
      <c r="F474" t="s">
        <v>65</v>
      </c>
      <c r="G474" t="s">
        <v>66</v>
      </c>
      <c r="H474">
        <v>8.7539617953263793</v>
      </c>
      <c r="I474">
        <v>-3.0752243455790307E-2</v>
      </c>
      <c r="J474" t="s">
        <v>67</v>
      </c>
      <c r="K474" t="s">
        <v>68</v>
      </c>
    </row>
    <row r="475" spans="1:11" x14ac:dyDescent="0.25">
      <c r="A475" t="s">
        <v>81</v>
      </c>
      <c r="B475" t="s">
        <v>82</v>
      </c>
      <c r="C475" t="s">
        <v>17</v>
      </c>
      <c r="D475" t="s">
        <v>18</v>
      </c>
      <c r="E475">
        <v>2024</v>
      </c>
      <c r="F475" t="s">
        <v>65</v>
      </c>
      <c r="G475" t="s">
        <v>66</v>
      </c>
      <c r="H475">
        <v>8.7164512492404391</v>
      </c>
      <c r="I475">
        <v>-3.7510546085940177E-2</v>
      </c>
      <c r="J475" t="s">
        <v>67</v>
      </c>
      <c r="K475" t="s">
        <v>68</v>
      </c>
    </row>
    <row r="476" spans="1:11" x14ac:dyDescent="0.25">
      <c r="A476" t="s">
        <v>81</v>
      </c>
      <c r="B476" t="s">
        <v>82</v>
      </c>
      <c r="C476" t="s">
        <v>19</v>
      </c>
      <c r="D476" t="s">
        <v>20</v>
      </c>
      <c r="E476">
        <v>2019</v>
      </c>
      <c r="F476" t="s">
        <v>65</v>
      </c>
      <c r="G476" t="s">
        <v>66</v>
      </c>
      <c r="H476">
        <v>34.025605538510298</v>
      </c>
      <c r="J476" t="s">
        <v>67</v>
      </c>
      <c r="K476" t="s">
        <v>68</v>
      </c>
    </row>
    <row r="477" spans="1:11" x14ac:dyDescent="0.25">
      <c r="A477" t="s">
        <v>81</v>
      </c>
      <c r="B477" t="s">
        <v>82</v>
      </c>
      <c r="C477" t="s">
        <v>19</v>
      </c>
      <c r="D477" t="s">
        <v>20</v>
      </c>
      <c r="E477">
        <v>2020</v>
      </c>
      <c r="F477" t="s">
        <v>65</v>
      </c>
      <c r="G477" t="s">
        <v>66</v>
      </c>
      <c r="H477">
        <v>33.370930950249303</v>
      </c>
      <c r="I477">
        <v>-0.65467458826099545</v>
      </c>
      <c r="J477" t="s">
        <v>67</v>
      </c>
      <c r="K477" t="s">
        <v>68</v>
      </c>
    </row>
    <row r="478" spans="1:11" x14ac:dyDescent="0.25">
      <c r="A478" t="s">
        <v>81</v>
      </c>
      <c r="B478" t="s">
        <v>82</v>
      </c>
      <c r="C478" t="s">
        <v>19</v>
      </c>
      <c r="D478" t="s">
        <v>20</v>
      </c>
      <c r="E478">
        <v>2021</v>
      </c>
      <c r="F478" t="s">
        <v>65</v>
      </c>
      <c r="G478" t="s">
        <v>66</v>
      </c>
      <c r="H478">
        <v>33.003120450471101</v>
      </c>
      <c r="I478">
        <v>-0.36781049977820146</v>
      </c>
      <c r="J478" t="s">
        <v>67</v>
      </c>
      <c r="K478" t="s">
        <v>68</v>
      </c>
    </row>
    <row r="479" spans="1:11" x14ac:dyDescent="0.25">
      <c r="A479" t="s">
        <v>81</v>
      </c>
      <c r="B479" t="s">
        <v>82</v>
      </c>
      <c r="C479" t="s">
        <v>19</v>
      </c>
      <c r="D479" t="s">
        <v>20</v>
      </c>
      <c r="E479">
        <v>2022</v>
      </c>
      <c r="F479" t="s">
        <v>65</v>
      </c>
      <c r="G479" t="s">
        <v>66</v>
      </c>
      <c r="H479">
        <v>32.0385574733791</v>
      </c>
      <c r="I479">
        <v>-0.96456297709200101</v>
      </c>
      <c r="J479" t="s">
        <v>67</v>
      </c>
      <c r="K479" t="s">
        <v>68</v>
      </c>
    </row>
    <row r="480" spans="1:11" x14ac:dyDescent="0.25">
      <c r="A480" t="s">
        <v>81</v>
      </c>
      <c r="B480" t="s">
        <v>82</v>
      </c>
      <c r="C480" t="s">
        <v>19</v>
      </c>
      <c r="D480" t="s">
        <v>20</v>
      </c>
      <c r="E480">
        <v>2023</v>
      </c>
      <c r="F480" t="s">
        <v>65</v>
      </c>
      <c r="G480" t="s">
        <v>66</v>
      </c>
      <c r="H480">
        <v>31.112746681142699</v>
      </c>
      <c r="I480">
        <v>-0.92581079223640117</v>
      </c>
      <c r="J480" t="s">
        <v>67</v>
      </c>
      <c r="K480" t="s">
        <v>68</v>
      </c>
    </row>
    <row r="481" spans="1:11" x14ac:dyDescent="0.25">
      <c r="A481" t="s">
        <v>81</v>
      </c>
      <c r="B481" t="s">
        <v>82</v>
      </c>
      <c r="C481" t="s">
        <v>19</v>
      </c>
      <c r="D481" t="s">
        <v>20</v>
      </c>
      <c r="E481">
        <v>2024</v>
      </c>
      <c r="F481" t="s">
        <v>65</v>
      </c>
      <c r="G481" t="s">
        <v>66</v>
      </c>
      <c r="H481">
        <v>30.053522644131</v>
      </c>
      <c r="I481">
        <v>-1.059224037011699</v>
      </c>
      <c r="J481" t="s">
        <v>67</v>
      </c>
      <c r="K481" t="s">
        <v>68</v>
      </c>
    </row>
    <row r="482" spans="1:11" x14ac:dyDescent="0.25">
      <c r="A482" t="s">
        <v>81</v>
      </c>
      <c r="B482" t="s">
        <v>82</v>
      </c>
      <c r="C482" t="s">
        <v>21</v>
      </c>
      <c r="D482" t="s">
        <v>22</v>
      </c>
      <c r="E482">
        <v>2019</v>
      </c>
      <c r="F482" t="s">
        <v>65</v>
      </c>
      <c r="G482" t="s">
        <v>66</v>
      </c>
      <c r="H482">
        <v>10.9561844064669</v>
      </c>
      <c r="J482" t="s">
        <v>67</v>
      </c>
      <c r="K482" t="s">
        <v>68</v>
      </c>
    </row>
    <row r="483" spans="1:11" x14ac:dyDescent="0.25">
      <c r="A483" t="s">
        <v>81</v>
      </c>
      <c r="B483" t="s">
        <v>82</v>
      </c>
      <c r="C483" t="s">
        <v>21</v>
      </c>
      <c r="D483" t="s">
        <v>22</v>
      </c>
      <c r="E483">
        <v>2020</v>
      </c>
      <c r="F483" t="s">
        <v>65</v>
      </c>
      <c r="G483" t="s">
        <v>66</v>
      </c>
      <c r="H483">
        <v>9.3562853377554802</v>
      </c>
      <c r="I483">
        <v>-1.5998990687114194</v>
      </c>
      <c r="J483" t="s">
        <v>67</v>
      </c>
      <c r="K483" t="s">
        <v>68</v>
      </c>
    </row>
    <row r="484" spans="1:11" x14ac:dyDescent="0.25">
      <c r="A484" t="s">
        <v>81</v>
      </c>
      <c r="B484" t="s">
        <v>82</v>
      </c>
      <c r="C484" t="s">
        <v>21</v>
      </c>
      <c r="D484" t="s">
        <v>22</v>
      </c>
      <c r="E484">
        <v>2021</v>
      </c>
      <c r="F484" t="s">
        <v>65</v>
      </c>
      <c r="G484" t="s">
        <v>66</v>
      </c>
      <c r="H484">
        <v>7.6046166413681702</v>
      </c>
      <c r="I484">
        <v>-1.75166869638731</v>
      </c>
      <c r="J484" t="s">
        <v>67</v>
      </c>
      <c r="K484" t="s">
        <v>68</v>
      </c>
    </row>
    <row r="485" spans="1:11" x14ac:dyDescent="0.25">
      <c r="A485" t="s">
        <v>81</v>
      </c>
      <c r="B485" t="s">
        <v>82</v>
      </c>
      <c r="C485" t="s">
        <v>21</v>
      </c>
      <c r="D485" t="s">
        <v>22</v>
      </c>
      <c r="E485">
        <v>2022</v>
      </c>
      <c r="F485" t="s">
        <v>65</v>
      </c>
      <c r="G485" t="s">
        <v>66</v>
      </c>
      <c r="H485">
        <v>7.0224983881245304</v>
      </c>
      <c r="I485">
        <v>-0.58211825324363975</v>
      </c>
      <c r="J485" t="s">
        <v>67</v>
      </c>
      <c r="K485" t="s">
        <v>68</v>
      </c>
    </row>
    <row r="486" spans="1:11" x14ac:dyDescent="0.25">
      <c r="A486" t="s">
        <v>81</v>
      </c>
      <c r="B486" t="s">
        <v>82</v>
      </c>
      <c r="C486" t="s">
        <v>21</v>
      </c>
      <c r="D486" t="s">
        <v>22</v>
      </c>
      <c r="E486">
        <v>2023</v>
      </c>
      <c r="F486" t="s">
        <v>65</v>
      </c>
      <c r="G486" t="s">
        <v>66</v>
      </c>
      <c r="H486">
        <v>6.6623749821671998</v>
      </c>
      <c r="I486">
        <v>-0.36012340595733061</v>
      </c>
      <c r="J486" t="s">
        <v>67</v>
      </c>
      <c r="K486" t="s">
        <v>68</v>
      </c>
    </row>
    <row r="487" spans="1:11" x14ac:dyDescent="0.25">
      <c r="A487" t="s">
        <v>81</v>
      </c>
      <c r="B487" t="s">
        <v>82</v>
      </c>
      <c r="C487" t="s">
        <v>21</v>
      </c>
      <c r="D487" t="s">
        <v>22</v>
      </c>
      <c r="E487">
        <v>2024</v>
      </c>
      <c r="F487" t="s">
        <v>65</v>
      </c>
      <c r="G487" t="s">
        <v>66</v>
      </c>
      <c r="J487" t="s">
        <v>67</v>
      </c>
      <c r="K487" t="s">
        <v>68</v>
      </c>
    </row>
    <row r="488" spans="1:11" x14ac:dyDescent="0.25">
      <c r="A488" t="s">
        <v>81</v>
      </c>
      <c r="B488" t="s">
        <v>82</v>
      </c>
      <c r="C488" t="s">
        <v>23</v>
      </c>
      <c r="D488" t="s">
        <v>24</v>
      </c>
      <c r="E488">
        <v>2019</v>
      </c>
      <c r="F488" t="s">
        <v>65</v>
      </c>
      <c r="G488" t="s">
        <v>66</v>
      </c>
      <c r="H488">
        <v>14.402041175139599</v>
      </c>
      <c r="J488" t="s">
        <v>67</v>
      </c>
      <c r="K488" t="s">
        <v>68</v>
      </c>
    </row>
    <row r="489" spans="1:11" x14ac:dyDescent="0.25">
      <c r="A489" t="s">
        <v>81</v>
      </c>
      <c r="B489" t="s">
        <v>82</v>
      </c>
      <c r="C489" t="s">
        <v>23</v>
      </c>
      <c r="D489" t="s">
        <v>24</v>
      </c>
      <c r="E489">
        <v>2020</v>
      </c>
      <c r="F489" t="s">
        <v>65</v>
      </c>
      <c r="G489" t="s">
        <v>66</v>
      </c>
      <c r="H489">
        <v>14.5469022724773</v>
      </c>
      <c r="I489">
        <v>0.14486109733770114</v>
      </c>
      <c r="J489" t="s">
        <v>67</v>
      </c>
      <c r="K489" t="s">
        <v>68</v>
      </c>
    </row>
    <row r="490" spans="1:11" x14ac:dyDescent="0.25">
      <c r="A490" t="s">
        <v>81</v>
      </c>
      <c r="B490" t="s">
        <v>82</v>
      </c>
      <c r="C490" t="s">
        <v>23</v>
      </c>
      <c r="D490" t="s">
        <v>24</v>
      </c>
      <c r="E490">
        <v>2021</v>
      </c>
      <c r="F490" t="s">
        <v>65</v>
      </c>
      <c r="G490" t="s">
        <v>66</v>
      </c>
      <c r="H490">
        <v>14.393157257185999</v>
      </c>
      <c r="I490">
        <v>-0.15374501529130136</v>
      </c>
      <c r="J490" t="s">
        <v>67</v>
      </c>
      <c r="K490" t="s">
        <v>68</v>
      </c>
    </row>
    <row r="491" spans="1:11" x14ac:dyDescent="0.25">
      <c r="A491" t="s">
        <v>81</v>
      </c>
      <c r="B491" t="s">
        <v>82</v>
      </c>
      <c r="C491" t="s">
        <v>23</v>
      </c>
      <c r="D491" t="s">
        <v>24</v>
      </c>
      <c r="E491">
        <v>2022</v>
      </c>
      <c r="F491" t="s">
        <v>65</v>
      </c>
      <c r="G491" t="s">
        <v>66</v>
      </c>
      <c r="H491">
        <v>14.267091292391701</v>
      </c>
      <c r="I491">
        <v>-0.12606596479429832</v>
      </c>
      <c r="J491" t="s">
        <v>67</v>
      </c>
      <c r="K491" t="s">
        <v>68</v>
      </c>
    </row>
    <row r="492" spans="1:11" x14ac:dyDescent="0.25">
      <c r="A492" t="s">
        <v>81</v>
      </c>
      <c r="B492" t="s">
        <v>82</v>
      </c>
      <c r="C492" t="s">
        <v>23</v>
      </c>
      <c r="D492" t="s">
        <v>24</v>
      </c>
      <c r="E492">
        <v>2023</v>
      </c>
      <c r="F492" t="s">
        <v>65</v>
      </c>
      <c r="G492" t="s">
        <v>66</v>
      </c>
      <c r="H492">
        <v>14.4058133124175</v>
      </c>
      <c r="I492">
        <v>0.13872202002579925</v>
      </c>
      <c r="J492" t="s">
        <v>67</v>
      </c>
      <c r="K492" t="s">
        <v>68</v>
      </c>
    </row>
    <row r="493" spans="1:11" x14ac:dyDescent="0.25">
      <c r="A493" t="s">
        <v>81</v>
      </c>
      <c r="B493" t="s">
        <v>82</v>
      </c>
      <c r="C493" t="s">
        <v>23</v>
      </c>
      <c r="D493" t="s">
        <v>24</v>
      </c>
      <c r="E493">
        <v>2024</v>
      </c>
      <c r="F493" t="s">
        <v>65</v>
      </c>
      <c r="G493" t="s">
        <v>66</v>
      </c>
      <c r="H493">
        <v>14.620374015897699</v>
      </c>
      <c r="I493">
        <v>0.21456070348019907</v>
      </c>
      <c r="J493" t="s">
        <v>67</v>
      </c>
      <c r="K493" t="s">
        <v>68</v>
      </c>
    </row>
    <row r="494" spans="1:11" x14ac:dyDescent="0.25">
      <c r="A494" t="s">
        <v>81</v>
      </c>
      <c r="B494" t="s">
        <v>82</v>
      </c>
      <c r="C494" t="s">
        <v>25</v>
      </c>
      <c r="D494" t="s">
        <v>26</v>
      </c>
      <c r="E494">
        <v>2019</v>
      </c>
      <c r="F494" t="s">
        <v>65</v>
      </c>
      <c r="G494" t="s">
        <v>66</v>
      </c>
      <c r="H494">
        <v>15.510578634706</v>
      </c>
      <c r="J494" t="s">
        <v>67</v>
      </c>
      <c r="K494" t="s">
        <v>68</v>
      </c>
    </row>
    <row r="495" spans="1:11" x14ac:dyDescent="0.25">
      <c r="A495" t="s">
        <v>81</v>
      </c>
      <c r="B495" t="s">
        <v>82</v>
      </c>
      <c r="C495" t="s">
        <v>25</v>
      </c>
      <c r="D495" t="s">
        <v>26</v>
      </c>
      <c r="E495">
        <v>2020</v>
      </c>
      <c r="F495" t="s">
        <v>65</v>
      </c>
      <c r="G495" t="s">
        <v>66</v>
      </c>
      <c r="H495">
        <v>15.132125306754</v>
      </c>
      <c r="I495">
        <v>-0.37845332795200015</v>
      </c>
      <c r="J495" t="s">
        <v>67</v>
      </c>
      <c r="K495" t="s">
        <v>68</v>
      </c>
    </row>
    <row r="496" spans="1:11" x14ac:dyDescent="0.25">
      <c r="A496" t="s">
        <v>81</v>
      </c>
      <c r="B496" t="s">
        <v>82</v>
      </c>
      <c r="C496" t="s">
        <v>25</v>
      </c>
      <c r="D496" t="s">
        <v>26</v>
      </c>
      <c r="E496">
        <v>2021</v>
      </c>
      <c r="F496" t="s">
        <v>65</v>
      </c>
      <c r="G496" t="s">
        <v>66</v>
      </c>
      <c r="H496">
        <v>15.765371424052701</v>
      </c>
      <c r="I496">
        <v>0.63324611729870028</v>
      </c>
      <c r="J496" t="s">
        <v>67</v>
      </c>
      <c r="K496" t="s">
        <v>68</v>
      </c>
    </row>
    <row r="497" spans="1:11" x14ac:dyDescent="0.25">
      <c r="A497" t="s">
        <v>81</v>
      </c>
      <c r="B497" t="s">
        <v>82</v>
      </c>
      <c r="C497" t="s">
        <v>25</v>
      </c>
      <c r="D497" t="s">
        <v>26</v>
      </c>
      <c r="E497">
        <v>2022</v>
      </c>
      <c r="F497" t="s">
        <v>65</v>
      </c>
      <c r="G497" t="s">
        <v>66</v>
      </c>
      <c r="H497">
        <v>12.230349658512001</v>
      </c>
      <c r="I497">
        <v>-3.5350217655406997</v>
      </c>
      <c r="J497" t="s">
        <v>67</v>
      </c>
      <c r="K497" t="s">
        <v>68</v>
      </c>
    </row>
    <row r="498" spans="1:11" x14ac:dyDescent="0.25">
      <c r="A498" t="s">
        <v>81</v>
      </c>
      <c r="B498" t="s">
        <v>82</v>
      </c>
      <c r="C498" t="s">
        <v>25</v>
      </c>
      <c r="D498" t="s">
        <v>26</v>
      </c>
      <c r="E498">
        <v>2023</v>
      </c>
      <c r="F498" t="s">
        <v>65</v>
      </c>
      <c r="G498" t="s">
        <v>66</v>
      </c>
      <c r="H498">
        <v>11.5507974328301</v>
      </c>
      <c r="I498">
        <v>-0.67955222568190088</v>
      </c>
      <c r="J498" t="s">
        <v>67</v>
      </c>
      <c r="K498" t="s">
        <v>68</v>
      </c>
    </row>
    <row r="499" spans="1:11" x14ac:dyDescent="0.25">
      <c r="A499" t="s">
        <v>81</v>
      </c>
      <c r="B499" t="s">
        <v>82</v>
      </c>
      <c r="C499" t="s">
        <v>25</v>
      </c>
      <c r="D499" t="s">
        <v>26</v>
      </c>
      <c r="E499">
        <v>2024</v>
      </c>
      <c r="F499" t="s">
        <v>65</v>
      </c>
      <c r="G499" t="s">
        <v>66</v>
      </c>
      <c r="H499">
        <v>11.2296187378829</v>
      </c>
      <c r="I499">
        <v>-0.32117869494719997</v>
      </c>
      <c r="J499" t="s">
        <v>67</v>
      </c>
      <c r="K499" t="s">
        <v>68</v>
      </c>
    </row>
    <row r="500" spans="1:11" x14ac:dyDescent="0.25">
      <c r="A500" t="s">
        <v>81</v>
      </c>
      <c r="B500" t="s">
        <v>82</v>
      </c>
      <c r="C500" t="s">
        <v>27</v>
      </c>
      <c r="D500" t="s">
        <v>28</v>
      </c>
      <c r="E500">
        <v>2019</v>
      </c>
      <c r="F500" t="s">
        <v>65</v>
      </c>
      <c r="G500" t="s">
        <v>66</v>
      </c>
      <c r="H500">
        <v>39.093337928518501</v>
      </c>
      <c r="J500" t="s">
        <v>67</v>
      </c>
      <c r="K500" t="s">
        <v>68</v>
      </c>
    </row>
    <row r="501" spans="1:11" x14ac:dyDescent="0.25">
      <c r="A501" t="s">
        <v>81</v>
      </c>
      <c r="B501" t="s">
        <v>82</v>
      </c>
      <c r="C501" t="s">
        <v>27</v>
      </c>
      <c r="D501" t="s">
        <v>28</v>
      </c>
      <c r="E501">
        <v>2020</v>
      </c>
      <c r="F501" t="s">
        <v>65</v>
      </c>
      <c r="G501" t="s">
        <v>66</v>
      </c>
      <c r="H501">
        <v>37.633715486023</v>
      </c>
      <c r="I501">
        <v>-1.4596224424955011</v>
      </c>
      <c r="J501" t="s">
        <v>67</v>
      </c>
      <c r="K501" t="s">
        <v>68</v>
      </c>
    </row>
    <row r="502" spans="1:11" x14ac:dyDescent="0.25">
      <c r="A502" t="s">
        <v>81</v>
      </c>
      <c r="B502" t="s">
        <v>82</v>
      </c>
      <c r="C502" t="s">
        <v>27</v>
      </c>
      <c r="D502" t="s">
        <v>28</v>
      </c>
      <c r="E502">
        <v>2021</v>
      </c>
      <c r="F502" t="s">
        <v>65</v>
      </c>
      <c r="G502" t="s">
        <v>66</v>
      </c>
      <c r="H502">
        <v>34.365636438117697</v>
      </c>
      <c r="I502">
        <v>-3.268079047905303</v>
      </c>
      <c r="J502" t="s">
        <v>67</v>
      </c>
      <c r="K502" t="s">
        <v>68</v>
      </c>
    </row>
    <row r="503" spans="1:11" x14ac:dyDescent="0.25">
      <c r="A503" t="s">
        <v>81</v>
      </c>
      <c r="B503" t="s">
        <v>82</v>
      </c>
      <c r="C503" t="s">
        <v>27</v>
      </c>
      <c r="D503" t="s">
        <v>28</v>
      </c>
      <c r="E503">
        <v>2022</v>
      </c>
      <c r="F503" t="s">
        <v>65</v>
      </c>
      <c r="G503" t="s">
        <v>66</v>
      </c>
      <c r="H503">
        <v>33.074153179826403</v>
      </c>
      <c r="I503">
        <v>-1.2914832582912936</v>
      </c>
      <c r="J503" t="s">
        <v>67</v>
      </c>
      <c r="K503" t="s">
        <v>68</v>
      </c>
    </row>
    <row r="504" spans="1:11" x14ac:dyDescent="0.25">
      <c r="A504" t="s">
        <v>81</v>
      </c>
      <c r="B504" t="s">
        <v>82</v>
      </c>
      <c r="C504" t="s">
        <v>27</v>
      </c>
      <c r="D504" t="s">
        <v>28</v>
      </c>
      <c r="E504">
        <v>2023</v>
      </c>
      <c r="F504" t="s">
        <v>65</v>
      </c>
      <c r="G504" t="s">
        <v>66</v>
      </c>
      <c r="H504">
        <v>31.4032369336024</v>
      </c>
      <c r="I504">
        <v>-1.670916246224003</v>
      </c>
      <c r="J504" t="s">
        <v>67</v>
      </c>
      <c r="K504" t="s">
        <v>68</v>
      </c>
    </row>
    <row r="505" spans="1:11" x14ac:dyDescent="0.25">
      <c r="A505" t="s">
        <v>81</v>
      </c>
      <c r="B505" t="s">
        <v>82</v>
      </c>
      <c r="C505" t="s">
        <v>27</v>
      </c>
      <c r="D505" t="s">
        <v>28</v>
      </c>
      <c r="E505">
        <v>2024</v>
      </c>
      <c r="F505" t="s">
        <v>65</v>
      </c>
      <c r="G505" t="s">
        <v>66</v>
      </c>
      <c r="H505">
        <v>30.326397546457599</v>
      </c>
      <c r="I505">
        <v>-1.0768393871448012</v>
      </c>
      <c r="J505" t="s">
        <v>67</v>
      </c>
      <c r="K505" t="s">
        <v>68</v>
      </c>
    </row>
    <row r="506" spans="1:11" x14ac:dyDescent="0.25">
      <c r="A506" t="s">
        <v>81</v>
      </c>
      <c r="B506" t="s">
        <v>82</v>
      </c>
      <c r="C506" t="s">
        <v>29</v>
      </c>
      <c r="D506" t="s">
        <v>30</v>
      </c>
      <c r="E506">
        <v>2019</v>
      </c>
      <c r="F506" t="s">
        <v>65</v>
      </c>
      <c r="G506" t="s">
        <v>66</v>
      </c>
      <c r="H506">
        <v>33.7415845186502</v>
      </c>
      <c r="J506" t="s">
        <v>67</v>
      </c>
      <c r="K506" t="s">
        <v>68</v>
      </c>
    </row>
    <row r="507" spans="1:11" x14ac:dyDescent="0.25">
      <c r="A507" t="s">
        <v>81</v>
      </c>
      <c r="B507" t="s">
        <v>82</v>
      </c>
      <c r="C507" t="s">
        <v>29</v>
      </c>
      <c r="D507" t="s">
        <v>30</v>
      </c>
      <c r="E507">
        <v>2020</v>
      </c>
      <c r="F507" t="s">
        <v>65</v>
      </c>
      <c r="G507" t="s">
        <v>66</v>
      </c>
      <c r="H507">
        <v>33.718919963802101</v>
      </c>
      <c r="I507">
        <v>-2.2664554848098817E-2</v>
      </c>
      <c r="J507" t="s">
        <v>67</v>
      </c>
      <c r="K507" t="s">
        <v>68</v>
      </c>
    </row>
    <row r="508" spans="1:11" x14ac:dyDescent="0.25">
      <c r="A508" t="s">
        <v>81</v>
      </c>
      <c r="B508" t="s">
        <v>82</v>
      </c>
      <c r="C508" t="s">
        <v>29</v>
      </c>
      <c r="D508" t="s">
        <v>30</v>
      </c>
      <c r="E508">
        <v>2021</v>
      </c>
      <c r="F508" t="s">
        <v>65</v>
      </c>
      <c r="G508" t="s">
        <v>66</v>
      </c>
      <c r="H508">
        <v>33.797077350264203</v>
      </c>
      <c r="I508">
        <v>7.8157386462102352E-2</v>
      </c>
      <c r="J508" t="s">
        <v>67</v>
      </c>
      <c r="K508" t="s">
        <v>68</v>
      </c>
    </row>
    <row r="509" spans="1:11" x14ac:dyDescent="0.25">
      <c r="A509" t="s">
        <v>81</v>
      </c>
      <c r="B509" t="s">
        <v>82</v>
      </c>
      <c r="C509" t="s">
        <v>29</v>
      </c>
      <c r="D509" t="s">
        <v>30</v>
      </c>
      <c r="E509">
        <v>2022</v>
      </c>
      <c r="F509" t="s">
        <v>65</v>
      </c>
      <c r="G509" t="s">
        <v>66</v>
      </c>
      <c r="H509">
        <v>33.754812556561703</v>
      </c>
      <c r="I509">
        <v>-4.2264793702500469E-2</v>
      </c>
      <c r="J509" t="s">
        <v>67</v>
      </c>
      <c r="K509" t="s">
        <v>68</v>
      </c>
    </row>
    <row r="510" spans="1:11" x14ac:dyDescent="0.25">
      <c r="A510" t="s">
        <v>81</v>
      </c>
      <c r="B510" t="s">
        <v>82</v>
      </c>
      <c r="C510" t="s">
        <v>29</v>
      </c>
      <c r="D510" t="s">
        <v>30</v>
      </c>
      <c r="E510">
        <v>2023</v>
      </c>
      <c r="F510" t="s">
        <v>65</v>
      </c>
      <c r="G510" t="s">
        <v>66</v>
      </c>
      <c r="H510">
        <v>33.742883824780797</v>
      </c>
      <c r="I510">
        <v>-1.1928731780905366E-2</v>
      </c>
      <c r="J510" t="s">
        <v>67</v>
      </c>
      <c r="K510" t="s">
        <v>68</v>
      </c>
    </row>
    <row r="511" spans="1:11" x14ac:dyDescent="0.25">
      <c r="A511" t="s">
        <v>81</v>
      </c>
      <c r="B511" t="s">
        <v>82</v>
      </c>
      <c r="C511" t="s">
        <v>29</v>
      </c>
      <c r="D511" t="s">
        <v>30</v>
      </c>
      <c r="E511">
        <v>2024</v>
      </c>
      <c r="F511" t="s">
        <v>65</v>
      </c>
      <c r="G511" t="s">
        <v>66</v>
      </c>
      <c r="H511">
        <v>33.706619565136599</v>
      </c>
      <c r="I511">
        <v>-3.626425964419866E-2</v>
      </c>
      <c r="J511" t="s">
        <v>67</v>
      </c>
      <c r="K511" t="s">
        <v>68</v>
      </c>
    </row>
    <row r="512" spans="1:11" x14ac:dyDescent="0.25">
      <c r="A512" t="s">
        <v>81</v>
      </c>
      <c r="B512" t="s">
        <v>82</v>
      </c>
      <c r="C512" t="s">
        <v>49</v>
      </c>
      <c r="D512" t="s">
        <v>50</v>
      </c>
      <c r="E512">
        <v>2019</v>
      </c>
      <c r="F512" t="s">
        <v>65</v>
      </c>
      <c r="G512" t="s">
        <v>66</v>
      </c>
      <c r="H512">
        <v>12.047816191241999</v>
      </c>
      <c r="J512" t="s">
        <v>67</v>
      </c>
      <c r="K512" t="s">
        <v>68</v>
      </c>
    </row>
    <row r="513" spans="1:21" x14ac:dyDescent="0.25">
      <c r="A513" t="s">
        <v>81</v>
      </c>
      <c r="B513" t="s">
        <v>82</v>
      </c>
      <c r="C513" t="s">
        <v>49</v>
      </c>
      <c r="D513" t="s">
        <v>50</v>
      </c>
      <c r="E513">
        <v>2020</v>
      </c>
      <c r="F513" t="s">
        <v>65</v>
      </c>
      <c r="G513" t="s">
        <v>66</v>
      </c>
      <c r="H513">
        <v>11.652041970254301</v>
      </c>
      <c r="I513">
        <v>-0.39577422098769865</v>
      </c>
      <c r="J513" t="s">
        <v>67</v>
      </c>
      <c r="K513" t="s">
        <v>68</v>
      </c>
    </row>
    <row r="514" spans="1:21" x14ac:dyDescent="0.25">
      <c r="A514" t="s">
        <v>81</v>
      </c>
      <c r="B514" t="s">
        <v>82</v>
      </c>
      <c r="C514" t="s">
        <v>49</v>
      </c>
      <c r="D514" t="s">
        <v>50</v>
      </c>
      <c r="E514">
        <v>2021</v>
      </c>
      <c r="F514" t="s">
        <v>65</v>
      </c>
      <c r="G514" t="s">
        <v>66</v>
      </c>
      <c r="H514">
        <v>12.195709864923099</v>
      </c>
      <c r="I514">
        <v>0.54366789466879872</v>
      </c>
      <c r="J514" t="s">
        <v>67</v>
      </c>
      <c r="K514" t="s">
        <v>68</v>
      </c>
    </row>
    <row r="515" spans="1:21" x14ac:dyDescent="0.25">
      <c r="A515" t="s">
        <v>81</v>
      </c>
      <c r="B515" t="s">
        <v>82</v>
      </c>
      <c r="C515" t="s">
        <v>49</v>
      </c>
      <c r="D515" t="s">
        <v>50</v>
      </c>
      <c r="E515">
        <v>2022</v>
      </c>
      <c r="F515" t="s">
        <v>65</v>
      </c>
      <c r="G515" t="s">
        <v>66</v>
      </c>
      <c r="H515">
        <v>11.3817129855635</v>
      </c>
      <c r="I515">
        <v>-0.81399687935959975</v>
      </c>
      <c r="J515" t="s">
        <v>67</v>
      </c>
      <c r="K515" t="s">
        <v>68</v>
      </c>
    </row>
    <row r="516" spans="1:21" x14ac:dyDescent="0.25">
      <c r="A516" t="s">
        <v>81</v>
      </c>
      <c r="B516" t="s">
        <v>82</v>
      </c>
      <c r="C516" t="s">
        <v>49</v>
      </c>
      <c r="D516" t="s">
        <v>50</v>
      </c>
      <c r="E516">
        <v>2023</v>
      </c>
      <c r="F516" t="s">
        <v>65</v>
      </c>
      <c r="G516" t="s">
        <v>66</v>
      </c>
      <c r="H516">
        <v>10.758006614781801</v>
      </c>
      <c r="I516">
        <v>-0.62370637078169899</v>
      </c>
      <c r="J516" t="s">
        <v>67</v>
      </c>
      <c r="K516" t="s">
        <v>68</v>
      </c>
    </row>
    <row r="517" spans="1:21" x14ac:dyDescent="0.25">
      <c r="A517" t="s">
        <v>81</v>
      </c>
      <c r="B517" t="s">
        <v>82</v>
      </c>
      <c r="C517" t="s">
        <v>49</v>
      </c>
      <c r="D517" t="s">
        <v>50</v>
      </c>
      <c r="E517">
        <v>2024</v>
      </c>
      <c r="F517" t="s">
        <v>65</v>
      </c>
      <c r="G517" t="s">
        <v>66</v>
      </c>
      <c r="H517">
        <v>10.079448177254701</v>
      </c>
      <c r="I517">
        <v>-0.67855843752709966</v>
      </c>
      <c r="J517" t="s">
        <v>67</v>
      </c>
      <c r="K517" t="s">
        <v>68</v>
      </c>
    </row>
    <row r="518" spans="1:21" x14ac:dyDescent="0.25">
      <c r="A518" t="s">
        <v>81</v>
      </c>
      <c r="B518" t="s">
        <v>82</v>
      </c>
      <c r="C518" t="s">
        <v>33</v>
      </c>
      <c r="D518" t="s">
        <v>34</v>
      </c>
      <c r="E518">
        <v>2019</v>
      </c>
      <c r="F518" t="s">
        <v>65</v>
      </c>
      <c r="G518" t="s">
        <v>66</v>
      </c>
      <c r="H518">
        <v>13.962226051905199</v>
      </c>
      <c r="J518" t="s">
        <v>67</v>
      </c>
      <c r="K518" t="s">
        <v>68</v>
      </c>
    </row>
    <row r="519" spans="1:21" x14ac:dyDescent="0.25">
      <c r="A519" t="s">
        <v>81</v>
      </c>
      <c r="B519" t="s">
        <v>82</v>
      </c>
      <c r="C519" t="s">
        <v>33</v>
      </c>
      <c r="D519" t="s">
        <v>34</v>
      </c>
      <c r="E519">
        <v>2020</v>
      </c>
      <c r="F519" t="s">
        <v>65</v>
      </c>
      <c r="G519" t="s">
        <v>66</v>
      </c>
      <c r="H519">
        <v>13.0323298101966</v>
      </c>
      <c r="I519">
        <v>-0.92989624170859919</v>
      </c>
      <c r="J519" t="s">
        <v>67</v>
      </c>
      <c r="K519" t="s">
        <v>68</v>
      </c>
    </row>
    <row r="520" spans="1:21" x14ac:dyDescent="0.25">
      <c r="A520" t="s">
        <v>81</v>
      </c>
      <c r="B520" t="s">
        <v>82</v>
      </c>
      <c r="C520" t="s">
        <v>33</v>
      </c>
      <c r="D520" t="s">
        <v>34</v>
      </c>
      <c r="E520">
        <v>2021</v>
      </c>
      <c r="F520" t="s">
        <v>65</v>
      </c>
      <c r="G520" t="s">
        <v>66</v>
      </c>
      <c r="H520">
        <v>12.2518189936116</v>
      </c>
      <c r="I520">
        <v>-0.7805108165850001</v>
      </c>
      <c r="J520" t="s">
        <v>67</v>
      </c>
      <c r="K520" t="s">
        <v>68</v>
      </c>
    </row>
    <row r="521" spans="1:21" x14ac:dyDescent="0.25">
      <c r="A521" t="s">
        <v>81</v>
      </c>
      <c r="B521" t="s">
        <v>82</v>
      </c>
      <c r="C521" t="s">
        <v>33</v>
      </c>
      <c r="D521" t="s">
        <v>34</v>
      </c>
      <c r="E521">
        <v>2022</v>
      </c>
      <c r="F521" t="s">
        <v>65</v>
      </c>
      <c r="G521" t="s">
        <v>66</v>
      </c>
      <c r="H521">
        <v>12.3819168631422</v>
      </c>
      <c r="I521">
        <v>0.13009786953059965</v>
      </c>
      <c r="J521" t="s">
        <v>67</v>
      </c>
      <c r="K521" t="s">
        <v>68</v>
      </c>
    </row>
    <row r="522" spans="1:21" x14ac:dyDescent="0.25">
      <c r="A522" t="s">
        <v>81</v>
      </c>
      <c r="B522" t="s">
        <v>82</v>
      </c>
      <c r="C522" t="s">
        <v>33</v>
      </c>
      <c r="D522" t="s">
        <v>34</v>
      </c>
      <c r="E522">
        <v>2023</v>
      </c>
      <c r="F522" t="s">
        <v>65</v>
      </c>
      <c r="G522" t="s">
        <v>66</v>
      </c>
      <c r="H522">
        <v>12.2029038948688</v>
      </c>
      <c r="I522">
        <v>-0.17901296827339941</v>
      </c>
      <c r="J522" t="s">
        <v>67</v>
      </c>
      <c r="K522" t="s">
        <v>68</v>
      </c>
    </row>
    <row r="523" spans="1:21" x14ac:dyDescent="0.25">
      <c r="A523" t="s">
        <v>81</v>
      </c>
      <c r="B523" t="s">
        <v>82</v>
      </c>
      <c r="C523" t="s">
        <v>33</v>
      </c>
      <c r="D523" t="s">
        <v>34</v>
      </c>
      <c r="E523">
        <v>2024</v>
      </c>
      <c r="F523" t="s">
        <v>65</v>
      </c>
      <c r="G523" t="s">
        <v>66</v>
      </c>
      <c r="H523">
        <v>12.039967753050799</v>
      </c>
      <c r="I523">
        <v>-0.16293614181800109</v>
      </c>
      <c r="J523" t="s">
        <v>67</v>
      </c>
      <c r="K523" t="s">
        <v>68</v>
      </c>
    </row>
    <row r="524" spans="1:21" x14ac:dyDescent="0.25">
      <c r="A524" t="s">
        <v>81</v>
      </c>
      <c r="B524" t="s">
        <v>82</v>
      </c>
      <c r="C524" t="s">
        <v>51</v>
      </c>
      <c r="D524" t="s">
        <v>52</v>
      </c>
      <c r="E524">
        <v>2019</v>
      </c>
      <c r="F524" t="s">
        <v>65</v>
      </c>
      <c r="G524" t="s">
        <v>66</v>
      </c>
      <c r="H524">
        <v>15.8452041037072</v>
      </c>
      <c r="J524" t="s">
        <v>67</v>
      </c>
      <c r="K524" t="s">
        <v>68</v>
      </c>
    </row>
    <row r="525" spans="1:21" x14ac:dyDescent="0.25">
      <c r="A525" t="s">
        <v>81</v>
      </c>
      <c r="B525" t="s">
        <v>82</v>
      </c>
      <c r="C525" t="s">
        <v>51</v>
      </c>
      <c r="D525" t="s">
        <v>52</v>
      </c>
      <c r="E525">
        <v>2020</v>
      </c>
      <c r="F525" t="s">
        <v>65</v>
      </c>
      <c r="G525" t="s">
        <v>66</v>
      </c>
      <c r="H525">
        <v>16.573994867408</v>
      </c>
      <c r="I525">
        <v>0.72879076370080043</v>
      </c>
      <c r="J525" t="s">
        <v>67</v>
      </c>
      <c r="K525" t="s">
        <v>68</v>
      </c>
      <c r="T525" t="s">
        <v>81</v>
      </c>
      <c r="U525" t="s">
        <v>82</v>
      </c>
    </row>
    <row r="526" spans="1:21" x14ac:dyDescent="0.25">
      <c r="A526" t="s">
        <v>81</v>
      </c>
      <c r="B526" t="s">
        <v>82</v>
      </c>
      <c r="C526" t="s">
        <v>51</v>
      </c>
      <c r="D526" t="s">
        <v>52</v>
      </c>
      <c r="E526">
        <v>2021</v>
      </c>
      <c r="F526" t="s">
        <v>65</v>
      </c>
      <c r="G526" t="s">
        <v>66</v>
      </c>
      <c r="H526">
        <v>16.947986054748299</v>
      </c>
      <c r="I526">
        <v>0.37399118734029813</v>
      </c>
      <c r="J526" t="s">
        <v>67</v>
      </c>
      <c r="K526" t="s">
        <v>68</v>
      </c>
    </row>
    <row r="527" spans="1:21" x14ac:dyDescent="0.25">
      <c r="A527" t="s">
        <v>81</v>
      </c>
      <c r="B527" t="s">
        <v>82</v>
      </c>
      <c r="C527" t="s">
        <v>51</v>
      </c>
      <c r="D527" t="s">
        <v>52</v>
      </c>
      <c r="E527">
        <v>2022</v>
      </c>
      <c r="F527" t="s">
        <v>65</v>
      </c>
      <c r="G527" t="s">
        <v>66</v>
      </c>
      <c r="H527">
        <v>15.9602512378507</v>
      </c>
      <c r="I527">
        <v>-0.98773481689759812</v>
      </c>
      <c r="J527" t="s">
        <v>67</v>
      </c>
      <c r="K527" t="s">
        <v>68</v>
      </c>
    </row>
    <row r="528" spans="1:21" x14ac:dyDescent="0.25">
      <c r="A528" t="s">
        <v>81</v>
      </c>
      <c r="B528" t="s">
        <v>82</v>
      </c>
      <c r="C528" t="s">
        <v>51</v>
      </c>
      <c r="D528" t="s">
        <v>52</v>
      </c>
      <c r="E528">
        <v>2023</v>
      </c>
      <c r="F528" t="s">
        <v>65</v>
      </c>
      <c r="G528" t="s">
        <v>66</v>
      </c>
      <c r="J528" t="s">
        <v>67</v>
      </c>
      <c r="K528" t="s">
        <v>68</v>
      </c>
    </row>
    <row r="529" spans="1:11" x14ac:dyDescent="0.25">
      <c r="A529" t="s">
        <v>81</v>
      </c>
      <c r="B529" t="s">
        <v>82</v>
      </c>
      <c r="C529" t="s">
        <v>51</v>
      </c>
      <c r="D529" t="s">
        <v>52</v>
      </c>
      <c r="E529">
        <v>2024</v>
      </c>
      <c r="F529" t="s">
        <v>65</v>
      </c>
      <c r="G529" t="s">
        <v>66</v>
      </c>
      <c r="J529" t="s">
        <v>67</v>
      </c>
      <c r="K529" t="s">
        <v>68</v>
      </c>
    </row>
    <row r="530" spans="1:11" x14ac:dyDescent="0.25">
      <c r="A530" t="s">
        <v>81</v>
      </c>
      <c r="B530" t="s">
        <v>82</v>
      </c>
      <c r="C530" t="s">
        <v>53</v>
      </c>
      <c r="D530" t="s">
        <v>54</v>
      </c>
      <c r="E530">
        <v>2019</v>
      </c>
      <c r="F530" t="s">
        <v>65</v>
      </c>
      <c r="G530" t="s">
        <v>66</v>
      </c>
      <c r="H530">
        <v>10.4232135166458</v>
      </c>
      <c r="J530" t="s">
        <v>67</v>
      </c>
      <c r="K530" t="s">
        <v>68</v>
      </c>
    </row>
    <row r="531" spans="1:11" x14ac:dyDescent="0.25">
      <c r="A531" t="s">
        <v>81</v>
      </c>
      <c r="B531" t="s">
        <v>82</v>
      </c>
      <c r="C531" t="s">
        <v>53</v>
      </c>
      <c r="D531" t="s">
        <v>54</v>
      </c>
      <c r="E531">
        <v>2020</v>
      </c>
      <c r="F531" t="s">
        <v>65</v>
      </c>
      <c r="G531" t="s">
        <v>66</v>
      </c>
      <c r="H531">
        <v>9.0950239643305792</v>
      </c>
      <c r="I531">
        <v>-1.3281895523152212</v>
      </c>
      <c r="J531" t="s">
        <v>67</v>
      </c>
      <c r="K531" t="s">
        <v>68</v>
      </c>
    </row>
    <row r="532" spans="1:11" x14ac:dyDescent="0.25">
      <c r="A532" t="s">
        <v>81</v>
      </c>
      <c r="B532" t="s">
        <v>82</v>
      </c>
      <c r="C532" t="s">
        <v>53</v>
      </c>
      <c r="D532" t="s">
        <v>54</v>
      </c>
      <c r="E532">
        <v>2021</v>
      </c>
      <c r="F532" t="s">
        <v>65</v>
      </c>
      <c r="G532" t="s">
        <v>66</v>
      </c>
      <c r="H532">
        <v>10.0209257728284</v>
      </c>
      <c r="I532">
        <v>0.92590180849782122</v>
      </c>
      <c r="J532" t="s">
        <v>67</v>
      </c>
      <c r="K532" t="s">
        <v>68</v>
      </c>
    </row>
    <row r="533" spans="1:11" x14ac:dyDescent="0.25">
      <c r="A533" t="s">
        <v>81</v>
      </c>
      <c r="B533" t="s">
        <v>82</v>
      </c>
      <c r="C533" t="s">
        <v>53</v>
      </c>
      <c r="D533" t="s">
        <v>54</v>
      </c>
      <c r="E533">
        <v>2022</v>
      </c>
      <c r="F533" t="s">
        <v>65</v>
      </c>
      <c r="G533" t="s">
        <v>66</v>
      </c>
      <c r="J533" t="s">
        <v>67</v>
      </c>
      <c r="K533" t="s">
        <v>68</v>
      </c>
    </row>
    <row r="534" spans="1:11" x14ac:dyDescent="0.25">
      <c r="A534" t="s">
        <v>81</v>
      </c>
      <c r="B534" t="s">
        <v>82</v>
      </c>
      <c r="C534" t="s">
        <v>53</v>
      </c>
      <c r="D534" t="s">
        <v>54</v>
      </c>
      <c r="E534">
        <v>2023</v>
      </c>
      <c r="F534" t="s">
        <v>65</v>
      </c>
      <c r="G534" t="s">
        <v>66</v>
      </c>
      <c r="J534" t="s">
        <v>67</v>
      </c>
      <c r="K534" t="s">
        <v>68</v>
      </c>
    </row>
    <row r="535" spans="1:11" x14ac:dyDescent="0.25">
      <c r="A535" t="s">
        <v>81</v>
      </c>
      <c r="B535" t="s">
        <v>82</v>
      </c>
      <c r="C535" t="s">
        <v>53</v>
      </c>
      <c r="D535" t="s">
        <v>54</v>
      </c>
      <c r="E535">
        <v>2024</v>
      </c>
      <c r="F535" t="s">
        <v>65</v>
      </c>
      <c r="G535" t="s">
        <v>66</v>
      </c>
      <c r="J535" t="s">
        <v>67</v>
      </c>
      <c r="K535" t="s">
        <v>68</v>
      </c>
    </row>
    <row r="536" spans="1:11" x14ac:dyDescent="0.25">
      <c r="A536" t="s">
        <v>81</v>
      </c>
      <c r="B536" t="s">
        <v>82</v>
      </c>
      <c r="C536" t="s">
        <v>31</v>
      </c>
      <c r="D536" t="s">
        <v>32</v>
      </c>
      <c r="E536">
        <v>2019</v>
      </c>
      <c r="F536" t="s">
        <v>65</v>
      </c>
      <c r="G536" t="s">
        <v>66</v>
      </c>
      <c r="H536" t="s">
        <v>69</v>
      </c>
      <c r="J536" t="s">
        <v>67</v>
      </c>
      <c r="K536" t="s">
        <v>68</v>
      </c>
    </row>
    <row r="537" spans="1:11" x14ac:dyDescent="0.25">
      <c r="A537" t="s">
        <v>81</v>
      </c>
      <c r="B537" t="s">
        <v>82</v>
      </c>
      <c r="C537" t="s">
        <v>31</v>
      </c>
      <c r="D537" t="s">
        <v>32</v>
      </c>
      <c r="E537">
        <v>2020</v>
      </c>
      <c r="F537" t="s">
        <v>65</v>
      </c>
      <c r="G537" t="s">
        <v>66</v>
      </c>
      <c r="H537" t="s">
        <v>70</v>
      </c>
      <c r="I537">
        <v>-0.7384923528374987</v>
      </c>
      <c r="J537" t="s">
        <v>67</v>
      </c>
      <c r="K537" t="s">
        <v>68</v>
      </c>
    </row>
    <row r="538" spans="1:11" x14ac:dyDescent="0.25">
      <c r="A538" t="s">
        <v>81</v>
      </c>
      <c r="B538" t="s">
        <v>82</v>
      </c>
      <c r="C538" t="s">
        <v>31</v>
      </c>
      <c r="D538" t="s">
        <v>32</v>
      </c>
      <c r="E538">
        <v>2021</v>
      </c>
      <c r="F538" t="s">
        <v>65</v>
      </c>
      <c r="G538" t="s">
        <v>66</v>
      </c>
      <c r="H538" t="s">
        <v>71</v>
      </c>
      <c r="I538">
        <v>-0.71154686754130125</v>
      </c>
      <c r="J538" t="s">
        <v>67</v>
      </c>
      <c r="K538" t="s">
        <v>68</v>
      </c>
    </row>
    <row r="539" spans="1:11" x14ac:dyDescent="0.25">
      <c r="A539" t="s">
        <v>81</v>
      </c>
      <c r="B539" t="s">
        <v>82</v>
      </c>
      <c r="C539" t="s">
        <v>31</v>
      </c>
      <c r="D539" t="s">
        <v>32</v>
      </c>
      <c r="E539">
        <v>2022</v>
      </c>
      <c r="F539" t="s">
        <v>65</v>
      </c>
      <c r="G539" t="s">
        <v>66</v>
      </c>
      <c r="H539" t="s">
        <v>72</v>
      </c>
      <c r="I539">
        <v>-0.68039065506509999</v>
      </c>
      <c r="J539" t="s">
        <v>67</v>
      </c>
      <c r="K539" t="s">
        <v>68</v>
      </c>
    </row>
    <row r="540" spans="1:11" x14ac:dyDescent="0.25">
      <c r="A540" t="s">
        <v>81</v>
      </c>
      <c r="B540" t="s">
        <v>82</v>
      </c>
      <c r="C540" t="s">
        <v>31</v>
      </c>
      <c r="D540" t="s">
        <v>32</v>
      </c>
      <c r="E540">
        <v>2023</v>
      </c>
      <c r="F540" t="s">
        <v>65</v>
      </c>
      <c r="G540" t="s">
        <v>66</v>
      </c>
      <c r="H540" t="s">
        <v>73</v>
      </c>
      <c r="I540">
        <v>-0.1936199551398996</v>
      </c>
      <c r="J540" t="s">
        <v>67</v>
      </c>
      <c r="K540" t="s">
        <v>68</v>
      </c>
    </row>
    <row r="541" spans="1:11" x14ac:dyDescent="0.25">
      <c r="A541" t="s">
        <v>81</v>
      </c>
      <c r="B541" t="s">
        <v>82</v>
      </c>
      <c r="C541" t="s">
        <v>31</v>
      </c>
      <c r="D541" t="s">
        <v>32</v>
      </c>
      <c r="E541">
        <v>2024</v>
      </c>
      <c r="F541" t="s">
        <v>65</v>
      </c>
      <c r="G541" t="s">
        <v>66</v>
      </c>
      <c r="H541" t="s">
        <v>74</v>
      </c>
      <c r="I541">
        <v>-0.30641274977729971</v>
      </c>
      <c r="J541" t="s">
        <v>67</v>
      </c>
      <c r="K541" t="s">
        <v>68</v>
      </c>
    </row>
    <row r="542" spans="1:11" x14ac:dyDescent="0.25">
      <c r="A542" t="s">
        <v>81</v>
      </c>
      <c r="B542" t="s">
        <v>82</v>
      </c>
      <c r="C542" t="s">
        <v>35</v>
      </c>
      <c r="D542" t="s">
        <v>36</v>
      </c>
      <c r="E542">
        <v>2019</v>
      </c>
      <c r="F542" t="s">
        <v>65</v>
      </c>
      <c r="G542" t="s">
        <v>66</v>
      </c>
      <c r="H542">
        <v>30.950246426626201</v>
      </c>
      <c r="J542" t="s">
        <v>67</v>
      </c>
      <c r="K542" t="s">
        <v>68</v>
      </c>
    </row>
    <row r="543" spans="1:11" x14ac:dyDescent="0.25">
      <c r="A543" t="s">
        <v>81</v>
      </c>
      <c r="B543" t="s">
        <v>82</v>
      </c>
      <c r="C543" t="s">
        <v>35</v>
      </c>
      <c r="D543" t="s">
        <v>36</v>
      </c>
      <c r="E543">
        <v>2020</v>
      </c>
      <c r="F543" t="s">
        <v>65</v>
      </c>
      <c r="G543" t="s">
        <v>66</v>
      </c>
      <c r="H543">
        <v>29.788928328165898</v>
      </c>
      <c r="I543">
        <v>-1.1613180984603027</v>
      </c>
      <c r="J543" t="s">
        <v>67</v>
      </c>
      <c r="K543" t="s">
        <v>68</v>
      </c>
    </row>
    <row r="544" spans="1:11" x14ac:dyDescent="0.25">
      <c r="A544" t="s">
        <v>81</v>
      </c>
      <c r="B544" t="s">
        <v>82</v>
      </c>
      <c r="C544" t="s">
        <v>35</v>
      </c>
      <c r="D544" t="s">
        <v>36</v>
      </c>
      <c r="E544">
        <v>2021</v>
      </c>
      <c r="F544" t="s">
        <v>65</v>
      </c>
      <c r="G544" t="s">
        <v>66</v>
      </c>
      <c r="H544">
        <v>28.142708322691998</v>
      </c>
      <c r="I544">
        <v>-1.6462200054739</v>
      </c>
      <c r="J544" t="s">
        <v>67</v>
      </c>
      <c r="K544" t="s">
        <v>68</v>
      </c>
    </row>
    <row r="545" spans="1:11" x14ac:dyDescent="0.25">
      <c r="A545" t="s">
        <v>81</v>
      </c>
      <c r="B545" t="s">
        <v>82</v>
      </c>
      <c r="C545" t="s">
        <v>35</v>
      </c>
      <c r="D545" t="s">
        <v>36</v>
      </c>
      <c r="E545">
        <v>2022</v>
      </c>
      <c r="F545" t="s">
        <v>65</v>
      </c>
      <c r="G545" t="s">
        <v>66</v>
      </c>
      <c r="H545">
        <v>26.5681232345575</v>
      </c>
      <c r="I545">
        <v>-1.5745850881344978</v>
      </c>
      <c r="J545" t="s">
        <v>67</v>
      </c>
      <c r="K545" t="s">
        <v>68</v>
      </c>
    </row>
    <row r="546" spans="1:11" x14ac:dyDescent="0.25">
      <c r="A546" t="s">
        <v>81</v>
      </c>
      <c r="B546" t="s">
        <v>82</v>
      </c>
      <c r="C546" t="s">
        <v>35</v>
      </c>
      <c r="D546" t="s">
        <v>36</v>
      </c>
      <c r="E546">
        <v>2023</v>
      </c>
      <c r="F546" t="s">
        <v>65</v>
      </c>
      <c r="G546" t="s">
        <v>66</v>
      </c>
      <c r="H546">
        <v>27.079825645984801</v>
      </c>
      <c r="I546">
        <v>0.51170241142730077</v>
      </c>
      <c r="J546" t="s">
        <v>67</v>
      </c>
      <c r="K546" t="s">
        <v>68</v>
      </c>
    </row>
    <row r="547" spans="1:11" x14ac:dyDescent="0.25">
      <c r="A547" t="s">
        <v>81</v>
      </c>
      <c r="B547" t="s">
        <v>82</v>
      </c>
      <c r="C547" t="s">
        <v>35</v>
      </c>
      <c r="D547" t="s">
        <v>36</v>
      </c>
      <c r="E547">
        <v>2024</v>
      </c>
      <c r="F547" t="s">
        <v>65</v>
      </c>
      <c r="G547" t="s">
        <v>66</v>
      </c>
      <c r="H547">
        <v>26.8138947123607</v>
      </c>
      <c r="I547">
        <v>-0.26593093362410158</v>
      </c>
      <c r="J547" t="s">
        <v>67</v>
      </c>
      <c r="K547" t="s">
        <v>68</v>
      </c>
    </row>
    <row r="548" spans="1:11" x14ac:dyDescent="0.25">
      <c r="A548" t="s">
        <v>81</v>
      </c>
      <c r="B548" t="s">
        <v>82</v>
      </c>
      <c r="C548" t="s">
        <v>7</v>
      </c>
      <c r="D548" t="s">
        <v>8</v>
      </c>
      <c r="E548">
        <v>2019</v>
      </c>
      <c r="F548" t="s">
        <v>65</v>
      </c>
      <c r="G548" t="s">
        <v>66</v>
      </c>
      <c r="H548">
        <v>9.4122120606768203</v>
      </c>
      <c r="J548" t="s">
        <v>67</v>
      </c>
      <c r="K548" t="s">
        <v>68</v>
      </c>
    </row>
    <row r="549" spans="1:11" x14ac:dyDescent="0.25">
      <c r="A549" t="s">
        <v>81</v>
      </c>
      <c r="B549" t="s">
        <v>82</v>
      </c>
      <c r="C549" t="s">
        <v>7</v>
      </c>
      <c r="D549" t="s">
        <v>8</v>
      </c>
      <c r="E549">
        <v>2020</v>
      </c>
      <c r="F549" t="s">
        <v>65</v>
      </c>
      <c r="G549" t="s">
        <v>66</v>
      </c>
      <c r="H549">
        <v>8.6730969804521401</v>
      </c>
      <c r="I549">
        <v>-0.7391150802246802</v>
      </c>
      <c r="J549" t="s">
        <v>67</v>
      </c>
      <c r="K549" t="s">
        <v>68</v>
      </c>
    </row>
    <row r="550" spans="1:11" x14ac:dyDescent="0.25">
      <c r="A550" t="s">
        <v>81</v>
      </c>
      <c r="B550" t="s">
        <v>82</v>
      </c>
      <c r="C550" t="s">
        <v>7</v>
      </c>
      <c r="D550" t="s">
        <v>8</v>
      </c>
      <c r="E550">
        <v>2021</v>
      </c>
      <c r="F550" t="s">
        <v>65</v>
      </c>
      <c r="G550" t="s">
        <v>66</v>
      </c>
      <c r="H550">
        <v>8.5603639427220806</v>
      </c>
      <c r="I550">
        <v>-0.11273303773005949</v>
      </c>
      <c r="J550" t="s">
        <v>67</v>
      </c>
      <c r="K550" t="s">
        <v>68</v>
      </c>
    </row>
    <row r="551" spans="1:11" x14ac:dyDescent="0.25">
      <c r="A551" t="s">
        <v>81</v>
      </c>
      <c r="B551" t="s">
        <v>82</v>
      </c>
      <c r="C551" t="s">
        <v>7</v>
      </c>
      <c r="D551" t="s">
        <v>8</v>
      </c>
      <c r="E551">
        <v>2022</v>
      </c>
      <c r="F551" t="s">
        <v>65</v>
      </c>
      <c r="G551" t="s">
        <v>66</v>
      </c>
      <c r="H551">
        <v>8.0591304256012695</v>
      </c>
      <c r="I551">
        <v>-0.5012335171208111</v>
      </c>
      <c r="J551" t="s">
        <v>67</v>
      </c>
      <c r="K551" t="s">
        <v>68</v>
      </c>
    </row>
    <row r="552" spans="1:11" x14ac:dyDescent="0.25">
      <c r="A552" t="s">
        <v>81</v>
      </c>
      <c r="B552" t="s">
        <v>82</v>
      </c>
      <c r="C552" t="s">
        <v>7</v>
      </c>
      <c r="D552" t="s">
        <v>8</v>
      </c>
      <c r="E552">
        <v>2023</v>
      </c>
      <c r="F552" t="s">
        <v>65</v>
      </c>
      <c r="G552" t="s">
        <v>66</v>
      </c>
      <c r="H552">
        <v>7.54068333523837</v>
      </c>
      <c r="I552">
        <v>-0.51844709036289949</v>
      </c>
      <c r="J552" t="s">
        <v>67</v>
      </c>
      <c r="K552" t="s">
        <v>68</v>
      </c>
    </row>
    <row r="553" spans="1:11" x14ac:dyDescent="0.25">
      <c r="A553" t="s">
        <v>81</v>
      </c>
      <c r="B553" t="s">
        <v>82</v>
      </c>
      <c r="C553" t="s">
        <v>7</v>
      </c>
      <c r="D553" t="s">
        <v>8</v>
      </c>
      <c r="E553">
        <v>2024</v>
      </c>
      <c r="F553" t="s">
        <v>65</v>
      </c>
      <c r="G553" t="s">
        <v>66</v>
      </c>
      <c r="H553">
        <v>7.1879434129991404</v>
      </c>
      <c r="I553">
        <v>-0.35273992223922956</v>
      </c>
      <c r="J553" t="s">
        <v>67</v>
      </c>
      <c r="K553" t="s">
        <v>68</v>
      </c>
    </row>
    <row r="554" spans="1:11" x14ac:dyDescent="0.25">
      <c r="A554" t="s">
        <v>81</v>
      </c>
      <c r="B554" t="s">
        <v>82</v>
      </c>
      <c r="C554" t="s">
        <v>37</v>
      </c>
      <c r="D554" t="s">
        <v>38</v>
      </c>
      <c r="E554">
        <v>2019</v>
      </c>
      <c r="F554" t="s">
        <v>65</v>
      </c>
      <c r="G554" t="s">
        <v>66</v>
      </c>
      <c r="H554">
        <v>9.2269439714061807</v>
      </c>
      <c r="J554" t="s">
        <v>67</v>
      </c>
      <c r="K554" t="s">
        <v>68</v>
      </c>
    </row>
    <row r="555" spans="1:11" x14ac:dyDescent="0.25">
      <c r="A555" t="s">
        <v>81</v>
      </c>
      <c r="B555" t="s">
        <v>82</v>
      </c>
      <c r="C555" t="s">
        <v>37</v>
      </c>
      <c r="D555" t="s">
        <v>38</v>
      </c>
      <c r="E555">
        <v>2020</v>
      </c>
      <c r="F555" t="s">
        <v>65</v>
      </c>
      <c r="G555" t="s">
        <v>66</v>
      </c>
      <c r="H555">
        <v>8.8054905366196596</v>
      </c>
      <c r="I555">
        <v>-0.42145343478652109</v>
      </c>
      <c r="J555" t="s">
        <v>67</v>
      </c>
      <c r="K555" t="s">
        <v>68</v>
      </c>
    </row>
    <row r="556" spans="1:11" x14ac:dyDescent="0.25">
      <c r="A556" t="s">
        <v>81</v>
      </c>
      <c r="B556" t="s">
        <v>82</v>
      </c>
      <c r="C556" t="s">
        <v>37</v>
      </c>
      <c r="D556" t="s">
        <v>38</v>
      </c>
      <c r="E556">
        <v>2021</v>
      </c>
      <c r="F556" t="s">
        <v>65</v>
      </c>
      <c r="G556" t="s">
        <v>66</v>
      </c>
      <c r="H556">
        <v>8.8934035848702706</v>
      </c>
      <c r="I556">
        <v>8.791304825061097E-2</v>
      </c>
      <c r="J556" t="s">
        <v>67</v>
      </c>
      <c r="K556" t="s">
        <v>68</v>
      </c>
    </row>
    <row r="557" spans="1:11" x14ac:dyDescent="0.25">
      <c r="A557" t="s">
        <v>81</v>
      </c>
      <c r="B557" t="s">
        <v>82</v>
      </c>
      <c r="C557" t="s">
        <v>37</v>
      </c>
      <c r="D557" t="s">
        <v>38</v>
      </c>
      <c r="E557">
        <v>2022</v>
      </c>
      <c r="F557" t="s">
        <v>65</v>
      </c>
      <c r="G557" t="s">
        <v>66</v>
      </c>
      <c r="H557">
        <v>8.4769962259960199</v>
      </c>
      <c r="I557">
        <v>-0.41640735887425073</v>
      </c>
      <c r="J557" t="s">
        <v>67</v>
      </c>
      <c r="K557" t="s">
        <v>68</v>
      </c>
    </row>
    <row r="558" spans="1:11" x14ac:dyDescent="0.25">
      <c r="A558" t="s">
        <v>81</v>
      </c>
      <c r="B558" t="s">
        <v>82</v>
      </c>
      <c r="C558" t="s">
        <v>37</v>
      </c>
      <c r="D558" t="s">
        <v>38</v>
      </c>
      <c r="E558">
        <v>2023</v>
      </c>
      <c r="F558" t="s">
        <v>65</v>
      </c>
      <c r="G558" t="s">
        <v>66</v>
      </c>
      <c r="H558">
        <v>8.0837272964334694</v>
      </c>
      <c r="I558">
        <v>-0.39326892956255044</v>
      </c>
      <c r="J558" t="s">
        <v>67</v>
      </c>
      <c r="K558" t="s">
        <v>68</v>
      </c>
    </row>
    <row r="559" spans="1:11" x14ac:dyDescent="0.25">
      <c r="A559" t="s">
        <v>81</v>
      </c>
      <c r="B559" t="s">
        <v>82</v>
      </c>
      <c r="C559" t="s">
        <v>37</v>
      </c>
      <c r="D559" t="s">
        <v>38</v>
      </c>
      <c r="E559">
        <v>2024</v>
      </c>
      <c r="F559" t="s">
        <v>65</v>
      </c>
      <c r="G559" t="s">
        <v>66</v>
      </c>
      <c r="H559">
        <v>7.9785462477434503</v>
      </c>
      <c r="I559">
        <v>-0.1051810486900191</v>
      </c>
      <c r="J559" t="s">
        <v>67</v>
      </c>
      <c r="K559" t="s">
        <v>68</v>
      </c>
    </row>
    <row r="560" spans="1:11" x14ac:dyDescent="0.25">
      <c r="A560" t="s">
        <v>81</v>
      </c>
      <c r="B560" t="s">
        <v>82</v>
      </c>
      <c r="C560" t="s">
        <v>39</v>
      </c>
      <c r="D560" t="s">
        <v>40</v>
      </c>
      <c r="E560">
        <v>2019</v>
      </c>
      <c r="F560" t="s">
        <v>65</v>
      </c>
      <c r="G560" t="s">
        <v>66</v>
      </c>
      <c r="H560">
        <v>15.984548196721599</v>
      </c>
      <c r="J560" t="s">
        <v>67</v>
      </c>
      <c r="K560" t="s">
        <v>68</v>
      </c>
    </row>
    <row r="561" spans="1:22" x14ac:dyDescent="0.25">
      <c r="A561" t="s">
        <v>81</v>
      </c>
      <c r="B561" t="s">
        <v>82</v>
      </c>
      <c r="C561" t="s">
        <v>39</v>
      </c>
      <c r="D561" t="s">
        <v>40</v>
      </c>
      <c r="E561">
        <v>2020</v>
      </c>
      <c r="F561" t="s">
        <v>65</v>
      </c>
      <c r="G561" t="s">
        <v>66</v>
      </c>
      <c r="H561">
        <v>15.384000937170899</v>
      </c>
      <c r="I561">
        <v>-0.60054725955069976</v>
      </c>
      <c r="J561" t="s">
        <v>67</v>
      </c>
      <c r="K561" t="s">
        <v>68</v>
      </c>
    </row>
    <row r="562" spans="1:22" x14ac:dyDescent="0.25">
      <c r="A562" t="s">
        <v>81</v>
      </c>
      <c r="B562" t="s">
        <v>82</v>
      </c>
      <c r="C562" t="s">
        <v>39</v>
      </c>
      <c r="D562" t="s">
        <v>40</v>
      </c>
      <c r="E562">
        <v>2021</v>
      </c>
      <c r="F562" t="s">
        <v>65</v>
      </c>
      <c r="G562" t="s">
        <v>66</v>
      </c>
      <c r="H562">
        <v>14.961123162615801</v>
      </c>
      <c r="I562">
        <v>-0.4228777745550989</v>
      </c>
      <c r="J562" t="s">
        <v>67</v>
      </c>
      <c r="K562" t="s">
        <v>68</v>
      </c>
    </row>
    <row r="563" spans="1:22" x14ac:dyDescent="0.25">
      <c r="A563" t="s">
        <v>81</v>
      </c>
      <c r="B563" t="s">
        <v>82</v>
      </c>
      <c r="C563" t="s">
        <v>39</v>
      </c>
      <c r="D563" t="s">
        <v>40</v>
      </c>
      <c r="E563">
        <v>2022</v>
      </c>
      <c r="F563" t="s">
        <v>65</v>
      </c>
      <c r="G563" t="s">
        <v>66</v>
      </c>
      <c r="H563">
        <v>14.4427660253151</v>
      </c>
      <c r="I563">
        <v>-0.51835713730070054</v>
      </c>
      <c r="J563" t="s">
        <v>67</v>
      </c>
      <c r="K563" t="s">
        <v>68</v>
      </c>
    </row>
    <row r="564" spans="1:22" x14ac:dyDescent="0.25">
      <c r="A564" t="s">
        <v>81</v>
      </c>
      <c r="B564" t="s">
        <v>82</v>
      </c>
      <c r="C564" t="s">
        <v>39</v>
      </c>
      <c r="D564" t="s">
        <v>40</v>
      </c>
      <c r="E564">
        <v>2023</v>
      </c>
      <c r="F564" t="s">
        <v>65</v>
      </c>
      <c r="G564" t="s">
        <v>66</v>
      </c>
      <c r="H564">
        <v>14.177323575616001</v>
      </c>
      <c r="I564">
        <v>-0.26544244969909947</v>
      </c>
      <c r="J564" t="s">
        <v>67</v>
      </c>
      <c r="K564" t="s">
        <v>68</v>
      </c>
    </row>
    <row r="565" spans="1:22" x14ac:dyDescent="0.25">
      <c r="A565" t="s">
        <v>81</v>
      </c>
      <c r="B565" t="s">
        <v>82</v>
      </c>
      <c r="C565" t="s">
        <v>39</v>
      </c>
      <c r="D565" t="s">
        <v>40</v>
      </c>
      <c r="E565">
        <v>2024</v>
      </c>
      <c r="F565" t="s">
        <v>65</v>
      </c>
      <c r="G565" t="s">
        <v>66</v>
      </c>
      <c r="H565">
        <v>13.698377273734099</v>
      </c>
      <c r="I565">
        <v>-0.47894630188190135</v>
      </c>
      <c r="J565" t="s">
        <v>67</v>
      </c>
      <c r="K565" t="s">
        <v>68</v>
      </c>
    </row>
    <row r="566" spans="1:22" x14ac:dyDescent="0.25">
      <c r="A566" t="s">
        <v>81</v>
      </c>
      <c r="B566" t="s">
        <v>82</v>
      </c>
      <c r="C566" t="s">
        <v>55</v>
      </c>
      <c r="D566" t="s">
        <v>56</v>
      </c>
      <c r="E566">
        <v>2019</v>
      </c>
      <c r="F566" t="s">
        <v>65</v>
      </c>
      <c r="G566" t="s">
        <v>66</v>
      </c>
      <c r="H566">
        <v>10.273280917173601</v>
      </c>
      <c r="J566" t="s">
        <v>67</v>
      </c>
      <c r="K566" t="s">
        <v>68</v>
      </c>
    </row>
    <row r="567" spans="1:22" x14ac:dyDescent="0.25">
      <c r="A567" t="s">
        <v>81</v>
      </c>
      <c r="B567" t="s">
        <v>82</v>
      </c>
      <c r="C567" t="s">
        <v>55</v>
      </c>
      <c r="D567" t="s">
        <v>56</v>
      </c>
      <c r="E567">
        <v>2020</v>
      </c>
      <c r="F567" t="s">
        <v>65</v>
      </c>
      <c r="G567" t="s">
        <v>66</v>
      </c>
      <c r="H567">
        <v>8.7325508170782697</v>
      </c>
      <c r="I567">
        <v>-1.5407301000953311</v>
      </c>
      <c r="J567" t="s">
        <v>67</v>
      </c>
      <c r="K567" t="s">
        <v>68</v>
      </c>
      <c r="U567" t="s">
        <v>81</v>
      </c>
      <c r="V567" t="s">
        <v>82</v>
      </c>
    </row>
    <row r="568" spans="1:22" x14ac:dyDescent="0.25">
      <c r="A568" t="s">
        <v>81</v>
      </c>
      <c r="B568" t="s">
        <v>82</v>
      </c>
      <c r="C568" t="s">
        <v>55</v>
      </c>
      <c r="D568" t="s">
        <v>56</v>
      </c>
      <c r="E568">
        <v>2021</v>
      </c>
      <c r="F568" t="s">
        <v>65</v>
      </c>
      <c r="G568" t="s">
        <v>66</v>
      </c>
      <c r="H568">
        <v>8.2404192051771208</v>
      </c>
      <c r="I568">
        <v>-0.49213161190114896</v>
      </c>
      <c r="J568" t="s">
        <v>67</v>
      </c>
      <c r="K568" t="s">
        <v>68</v>
      </c>
    </row>
    <row r="569" spans="1:22" x14ac:dyDescent="0.25">
      <c r="A569" t="s">
        <v>81</v>
      </c>
      <c r="B569" t="s">
        <v>82</v>
      </c>
      <c r="C569" t="s">
        <v>55</v>
      </c>
      <c r="D569" t="s">
        <v>56</v>
      </c>
      <c r="E569">
        <v>2022</v>
      </c>
      <c r="F569" t="s">
        <v>65</v>
      </c>
      <c r="G569" t="s">
        <v>66</v>
      </c>
      <c r="H569">
        <v>7.6607360609755801</v>
      </c>
      <c r="I569">
        <v>-0.57968314420154066</v>
      </c>
      <c r="J569" t="s">
        <v>67</v>
      </c>
      <c r="K569" t="s">
        <v>68</v>
      </c>
    </row>
    <row r="570" spans="1:22" x14ac:dyDescent="0.25">
      <c r="A570" t="s">
        <v>81</v>
      </c>
      <c r="B570" t="s">
        <v>82</v>
      </c>
      <c r="C570" t="s">
        <v>55</v>
      </c>
      <c r="D570" t="s">
        <v>56</v>
      </c>
      <c r="E570">
        <v>2023</v>
      </c>
      <c r="F570" t="s">
        <v>65</v>
      </c>
      <c r="G570" t="s">
        <v>66</v>
      </c>
      <c r="H570">
        <v>7.2384069406779901</v>
      </c>
      <c r="I570">
        <v>-0.42232912029759007</v>
      </c>
      <c r="J570" t="s">
        <v>67</v>
      </c>
      <c r="K570" t="s">
        <v>68</v>
      </c>
    </row>
    <row r="571" spans="1:22" x14ac:dyDescent="0.25">
      <c r="A571" t="s">
        <v>81</v>
      </c>
      <c r="B571" t="s">
        <v>82</v>
      </c>
      <c r="C571" t="s">
        <v>55</v>
      </c>
      <c r="D571" t="s">
        <v>56</v>
      </c>
      <c r="E571">
        <v>2024</v>
      </c>
      <c r="F571" t="s">
        <v>65</v>
      </c>
      <c r="G571" t="s">
        <v>66</v>
      </c>
      <c r="J571" t="s">
        <v>67</v>
      </c>
      <c r="K571" t="s">
        <v>68</v>
      </c>
    </row>
    <row r="572" spans="1:22" x14ac:dyDescent="0.25">
      <c r="A572" t="s">
        <v>81</v>
      </c>
      <c r="B572" t="s">
        <v>82</v>
      </c>
      <c r="C572" t="s">
        <v>41</v>
      </c>
      <c r="D572" t="s">
        <v>42</v>
      </c>
      <c r="E572">
        <v>2019</v>
      </c>
      <c r="F572" t="s">
        <v>65</v>
      </c>
      <c r="G572" t="s">
        <v>66</v>
      </c>
      <c r="J572" t="s">
        <v>67</v>
      </c>
      <c r="K572" t="s">
        <v>68</v>
      </c>
    </row>
    <row r="573" spans="1:22" x14ac:dyDescent="0.25">
      <c r="A573" t="s">
        <v>81</v>
      </c>
      <c r="B573" t="s">
        <v>82</v>
      </c>
      <c r="C573" t="s">
        <v>41</v>
      </c>
      <c r="D573" t="s">
        <v>42</v>
      </c>
      <c r="E573">
        <v>2020</v>
      </c>
      <c r="F573" t="s">
        <v>65</v>
      </c>
      <c r="G573" t="s">
        <v>66</v>
      </c>
      <c r="J573" t="s">
        <v>67</v>
      </c>
      <c r="K573" t="s">
        <v>68</v>
      </c>
    </row>
    <row r="574" spans="1:22" x14ac:dyDescent="0.25">
      <c r="A574" t="s">
        <v>81</v>
      </c>
      <c r="B574" t="s">
        <v>82</v>
      </c>
      <c r="C574" t="s">
        <v>41</v>
      </c>
      <c r="D574" t="s">
        <v>42</v>
      </c>
      <c r="E574">
        <v>2021</v>
      </c>
      <c r="F574" t="s">
        <v>65</v>
      </c>
      <c r="G574" t="s">
        <v>66</v>
      </c>
      <c r="J574" t="s">
        <v>67</v>
      </c>
      <c r="K574" t="s">
        <v>68</v>
      </c>
    </row>
    <row r="575" spans="1:22" x14ac:dyDescent="0.25">
      <c r="A575" t="s">
        <v>81</v>
      </c>
      <c r="B575" t="s">
        <v>82</v>
      </c>
      <c r="C575" t="s">
        <v>41</v>
      </c>
      <c r="D575" t="s">
        <v>42</v>
      </c>
      <c r="E575">
        <v>2022</v>
      </c>
      <c r="F575" t="s">
        <v>65</v>
      </c>
      <c r="G575" t="s">
        <v>66</v>
      </c>
      <c r="J575" t="s">
        <v>67</v>
      </c>
      <c r="K575" t="s">
        <v>68</v>
      </c>
    </row>
    <row r="576" spans="1:22" x14ac:dyDescent="0.25">
      <c r="A576" t="s">
        <v>81</v>
      </c>
      <c r="B576" t="s">
        <v>82</v>
      </c>
      <c r="C576" t="s">
        <v>41</v>
      </c>
      <c r="D576" t="s">
        <v>42</v>
      </c>
      <c r="E576">
        <v>2023</v>
      </c>
      <c r="F576" t="s">
        <v>65</v>
      </c>
      <c r="G576" t="s">
        <v>66</v>
      </c>
      <c r="J576" t="s">
        <v>67</v>
      </c>
      <c r="K576" t="s">
        <v>68</v>
      </c>
    </row>
    <row r="577" spans="1:11" x14ac:dyDescent="0.25">
      <c r="A577" t="s">
        <v>81</v>
      </c>
      <c r="B577" t="s">
        <v>82</v>
      </c>
      <c r="C577" t="s">
        <v>41</v>
      </c>
      <c r="D577" t="s">
        <v>42</v>
      </c>
      <c r="E577">
        <v>2024</v>
      </c>
      <c r="F577" t="s">
        <v>65</v>
      </c>
      <c r="G577" t="s">
        <v>66</v>
      </c>
      <c r="J577" t="s">
        <v>67</v>
      </c>
      <c r="K577" t="s">
        <v>68</v>
      </c>
    </row>
    <row r="578" spans="1:11" x14ac:dyDescent="0.25">
      <c r="A578" t="s">
        <v>81</v>
      </c>
      <c r="B578" t="s">
        <v>82</v>
      </c>
      <c r="C578" t="s">
        <v>43</v>
      </c>
      <c r="D578" t="s">
        <v>44</v>
      </c>
      <c r="E578">
        <v>2019</v>
      </c>
      <c r="F578" t="s">
        <v>65</v>
      </c>
      <c r="G578" t="s">
        <v>66</v>
      </c>
      <c r="H578">
        <v>30.302896362643398</v>
      </c>
      <c r="J578" t="s">
        <v>67</v>
      </c>
      <c r="K578" t="s">
        <v>68</v>
      </c>
    </row>
    <row r="579" spans="1:11" x14ac:dyDescent="0.25">
      <c r="A579" t="s">
        <v>81</v>
      </c>
      <c r="B579" t="s">
        <v>82</v>
      </c>
      <c r="C579" t="s">
        <v>43</v>
      </c>
      <c r="D579" t="s">
        <v>44</v>
      </c>
      <c r="E579">
        <v>2020</v>
      </c>
      <c r="F579" t="s">
        <v>65</v>
      </c>
      <c r="G579" t="s">
        <v>66</v>
      </c>
      <c r="H579">
        <v>29.507252389199</v>
      </c>
      <c r="I579">
        <v>-0.79564397344439897</v>
      </c>
      <c r="J579" t="s">
        <v>67</v>
      </c>
      <c r="K579" t="s">
        <v>68</v>
      </c>
    </row>
    <row r="580" spans="1:11" x14ac:dyDescent="0.25">
      <c r="A580" t="s">
        <v>81</v>
      </c>
      <c r="B580" t="s">
        <v>82</v>
      </c>
      <c r="C580" t="s">
        <v>43</v>
      </c>
      <c r="D580" t="s">
        <v>44</v>
      </c>
      <c r="E580">
        <v>2021</v>
      </c>
      <c r="F580" t="s">
        <v>65</v>
      </c>
      <c r="G580" t="s">
        <v>66</v>
      </c>
      <c r="H580">
        <v>28.207392159900301</v>
      </c>
      <c r="I580">
        <v>-1.299860229298698</v>
      </c>
      <c r="J580" t="s">
        <v>67</v>
      </c>
      <c r="K580" t="s">
        <v>68</v>
      </c>
    </row>
    <row r="581" spans="1:11" x14ac:dyDescent="0.25">
      <c r="A581" t="s">
        <v>81</v>
      </c>
      <c r="B581" t="s">
        <v>82</v>
      </c>
      <c r="C581" t="s">
        <v>43</v>
      </c>
      <c r="D581" t="s">
        <v>44</v>
      </c>
      <c r="E581">
        <v>2022</v>
      </c>
      <c r="F581" t="s">
        <v>65</v>
      </c>
      <c r="G581" t="s">
        <v>66</v>
      </c>
      <c r="H581">
        <v>27.1108281847964</v>
      </c>
      <c r="I581">
        <v>-1.0965639751039014</v>
      </c>
      <c r="J581" t="s">
        <v>67</v>
      </c>
      <c r="K581" t="s">
        <v>68</v>
      </c>
    </row>
    <row r="582" spans="1:11" x14ac:dyDescent="0.25">
      <c r="A582" t="s">
        <v>81</v>
      </c>
      <c r="B582" t="s">
        <v>82</v>
      </c>
      <c r="C582" t="s">
        <v>43</v>
      </c>
      <c r="D582" t="s">
        <v>44</v>
      </c>
      <c r="E582">
        <v>2023</v>
      </c>
      <c r="F582" t="s">
        <v>65</v>
      </c>
      <c r="G582" t="s">
        <v>66</v>
      </c>
      <c r="H582">
        <v>26.4579183877002</v>
      </c>
      <c r="I582">
        <v>-0.6529097970961999</v>
      </c>
      <c r="J582" t="s">
        <v>67</v>
      </c>
      <c r="K582" t="s">
        <v>68</v>
      </c>
    </row>
    <row r="583" spans="1:11" x14ac:dyDescent="0.25">
      <c r="A583" t="s">
        <v>81</v>
      </c>
      <c r="B583" t="s">
        <v>82</v>
      </c>
      <c r="C583" t="s">
        <v>43</v>
      </c>
      <c r="D583" t="s">
        <v>44</v>
      </c>
      <c r="E583">
        <v>2024</v>
      </c>
      <c r="F583" t="s">
        <v>65</v>
      </c>
      <c r="G583" t="s">
        <v>66</v>
      </c>
      <c r="H583">
        <v>25.729387669308601</v>
      </c>
      <c r="I583">
        <v>-0.72853071839159966</v>
      </c>
      <c r="J583" t="s">
        <v>67</v>
      </c>
      <c r="K583" t="s">
        <v>68</v>
      </c>
    </row>
    <row r="584" spans="1:11" x14ac:dyDescent="0.25">
      <c r="A584" t="s">
        <v>81</v>
      </c>
      <c r="B584" t="s">
        <v>82</v>
      </c>
      <c r="C584" t="s">
        <v>43</v>
      </c>
      <c r="D584" t="s">
        <v>44</v>
      </c>
      <c r="E584">
        <v>2019</v>
      </c>
      <c r="F584" t="s">
        <v>57</v>
      </c>
      <c r="G584" t="s">
        <v>61</v>
      </c>
      <c r="J584" t="s">
        <v>67</v>
      </c>
      <c r="K584" t="s">
        <v>68</v>
      </c>
    </row>
    <row r="585" spans="1:11" x14ac:dyDescent="0.25">
      <c r="A585" t="s">
        <v>81</v>
      </c>
      <c r="B585" t="s">
        <v>82</v>
      </c>
      <c r="C585" t="s">
        <v>43</v>
      </c>
      <c r="D585" t="s">
        <v>44</v>
      </c>
      <c r="E585">
        <v>2020</v>
      </c>
      <c r="F585" t="s">
        <v>57</v>
      </c>
      <c r="G585" t="s">
        <v>61</v>
      </c>
      <c r="J585" t="s">
        <v>67</v>
      </c>
      <c r="K585" t="s">
        <v>68</v>
      </c>
    </row>
    <row r="586" spans="1:11" x14ac:dyDescent="0.25">
      <c r="A586" t="s">
        <v>81</v>
      </c>
      <c r="B586" t="s">
        <v>82</v>
      </c>
      <c r="C586" t="s">
        <v>43</v>
      </c>
      <c r="D586" t="s">
        <v>44</v>
      </c>
      <c r="E586">
        <v>2021</v>
      </c>
      <c r="F586" t="s">
        <v>57</v>
      </c>
      <c r="G586" t="s">
        <v>61</v>
      </c>
      <c r="J586" t="s">
        <v>67</v>
      </c>
      <c r="K586" t="s">
        <v>68</v>
      </c>
    </row>
    <row r="587" spans="1:11" x14ac:dyDescent="0.25">
      <c r="A587" t="s">
        <v>81</v>
      </c>
      <c r="B587" t="s">
        <v>82</v>
      </c>
      <c r="C587" t="s">
        <v>43</v>
      </c>
      <c r="D587" t="s">
        <v>44</v>
      </c>
      <c r="E587">
        <v>2022</v>
      </c>
      <c r="F587" t="s">
        <v>57</v>
      </c>
      <c r="G587" t="s">
        <v>61</v>
      </c>
      <c r="J587" t="s">
        <v>67</v>
      </c>
      <c r="K587" t="s">
        <v>68</v>
      </c>
    </row>
    <row r="588" spans="1:11" x14ac:dyDescent="0.25">
      <c r="A588" t="s">
        <v>81</v>
      </c>
      <c r="B588" t="s">
        <v>82</v>
      </c>
      <c r="C588" t="s">
        <v>43</v>
      </c>
      <c r="D588" t="s">
        <v>44</v>
      </c>
      <c r="E588">
        <v>2023</v>
      </c>
      <c r="F588" t="s">
        <v>57</v>
      </c>
      <c r="G588" t="s">
        <v>61</v>
      </c>
      <c r="J588" t="s">
        <v>67</v>
      </c>
      <c r="K588" t="s">
        <v>68</v>
      </c>
    </row>
    <row r="589" spans="1:11" x14ac:dyDescent="0.25">
      <c r="A589" t="s">
        <v>81</v>
      </c>
      <c r="B589" t="s">
        <v>82</v>
      </c>
      <c r="C589" t="s">
        <v>43</v>
      </c>
      <c r="D589" t="s">
        <v>44</v>
      </c>
      <c r="E589">
        <v>2024</v>
      </c>
      <c r="F589" t="s">
        <v>57</v>
      </c>
      <c r="G589" t="s">
        <v>61</v>
      </c>
      <c r="J589" t="s">
        <v>67</v>
      </c>
      <c r="K589" t="s">
        <v>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AEFD7-8ECC-4A58-AABA-C41B1FC173F3}">
  <dimension ref="A1:R1471"/>
  <sheetViews>
    <sheetView workbookViewId="0">
      <selection activeCell="F616" sqref="F616"/>
    </sheetView>
  </sheetViews>
  <sheetFormatPr defaultRowHeight="15" x14ac:dyDescent="0.25"/>
  <cols>
    <col min="2" max="2" width="10.42578125" customWidth="1"/>
    <col min="3" max="3" width="10.140625" customWidth="1"/>
    <col min="6" max="6" width="11" customWidth="1"/>
    <col min="8" max="8" width="19" customWidth="1"/>
    <col min="9" max="9" width="9.7109375" customWidth="1"/>
    <col min="10" max="10" width="14.140625" customWidth="1"/>
    <col min="11" max="11" width="14.85546875" customWidth="1"/>
  </cols>
  <sheetData>
    <row r="1" spans="1:11" x14ac:dyDescent="0.25">
      <c r="A1" t="s">
        <v>0</v>
      </c>
      <c r="B1" t="s">
        <v>1</v>
      </c>
      <c r="C1" t="s">
        <v>2</v>
      </c>
      <c r="D1" t="s">
        <v>3</v>
      </c>
      <c r="E1" t="s">
        <v>4</v>
      </c>
      <c r="F1" t="s">
        <v>58</v>
      </c>
      <c r="G1" t="s">
        <v>59</v>
      </c>
      <c r="H1" t="s">
        <v>84</v>
      </c>
      <c r="I1" t="s">
        <v>62</v>
      </c>
      <c r="J1" t="s">
        <v>63</v>
      </c>
      <c r="K1" t="s">
        <v>64</v>
      </c>
    </row>
    <row r="2" spans="1:11" hidden="1" x14ac:dyDescent="0.25">
      <c r="A2" t="s">
        <v>5</v>
      </c>
      <c r="B2" t="s">
        <v>6</v>
      </c>
      <c r="C2" t="s">
        <v>9</v>
      </c>
      <c r="D2" t="s">
        <v>10</v>
      </c>
      <c r="E2">
        <v>2019</v>
      </c>
      <c r="F2" t="s">
        <v>83</v>
      </c>
      <c r="G2" t="s">
        <v>85</v>
      </c>
      <c r="H2" s="1">
        <v>381.95806314023099</v>
      </c>
      <c r="J2" t="s">
        <v>67</v>
      </c>
      <c r="K2" t="s">
        <v>68</v>
      </c>
    </row>
    <row r="3" spans="1:11" hidden="1" x14ac:dyDescent="0.25">
      <c r="A3" t="s">
        <v>5</v>
      </c>
      <c r="B3" t="s">
        <v>6</v>
      </c>
      <c r="C3" t="s">
        <v>9</v>
      </c>
      <c r="D3" t="s">
        <v>10</v>
      </c>
      <c r="E3">
        <v>2020</v>
      </c>
      <c r="F3" t="s">
        <v>83</v>
      </c>
      <c r="G3" t="s">
        <v>85</v>
      </c>
      <c r="H3" s="1">
        <v>369.492150659998</v>
      </c>
      <c r="I3">
        <f>_FIIPer1000[[#This Row],[No.Per1000Adults]]-H2</f>
        <v>-12.465912480232987</v>
      </c>
      <c r="J3" t="s">
        <v>67</v>
      </c>
      <c r="K3" t="s">
        <v>68</v>
      </c>
    </row>
    <row r="4" spans="1:11" hidden="1" x14ac:dyDescent="0.25">
      <c r="A4" t="s">
        <v>5</v>
      </c>
      <c r="B4" t="s">
        <v>6</v>
      </c>
      <c r="C4" t="s">
        <v>9</v>
      </c>
      <c r="D4" t="s">
        <v>10</v>
      </c>
      <c r="E4">
        <v>2021</v>
      </c>
      <c r="F4" t="s">
        <v>83</v>
      </c>
      <c r="G4" t="s">
        <v>85</v>
      </c>
      <c r="H4" s="1">
        <v>366.819612379592</v>
      </c>
      <c r="I4">
        <f>_FIIPer1000[[#This Row],[No.Per1000Adults]]-H3</f>
        <v>-2.6725382804060018</v>
      </c>
      <c r="J4" t="s">
        <v>67</v>
      </c>
      <c r="K4" t="s">
        <v>68</v>
      </c>
    </row>
    <row r="5" spans="1:11" hidden="1" x14ac:dyDescent="0.25">
      <c r="A5" t="s">
        <v>5</v>
      </c>
      <c r="B5" t="s">
        <v>6</v>
      </c>
      <c r="C5" t="s">
        <v>9</v>
      </c>
      <c r="D5" t="s">
        <v>10</v>
      </c>
      <c r="E5">
        <v>2022</v>
      </c>
      <c r="F5" t="s">
        <v>83</v>
      </c>
      <c r="G5" t="s">
        <v>85</v>
      </c>
      <c r="H5" s="1">
        <v>391.15811413819301</v>
      </c>
      <c r="I5">
        <f>_FIIPer1000[[#This Row],[No.Per1000Adults]]-H4</f>
        <v>24.338501758601012</v>
      </c>
      <c r="J5" t="s">
        <v>67</v>
      </c>
      <c r="K5" t="s">
        <v>68</v>
      </c>
    </row>
    <row r="6" spans="1:11" hidden="1" x14ac:dyDescent="0.25">
      <c r="A6" t="s">
        <v>5</v>
      </c>
      <c r="B6" t="s">
        <v>6</v>
      </c>
      <c r="C6" t="s">
        <v>9</v>
      </c>
      <c r="D6" t="s">
        <v>10</v>
      </c>
      <c r="E6">
        <v>2023</v>
      </c>
      <c r="F6" t="s">
        <v>83</v>
      </c>
      <c r="G6" t="s">
        <v>85</v>
      </c>
      <c r="H6" s="1">
        <v>401.58913979153698</v>
      </c>
      <c r="I6">
        <f>_FIIPer1000[[#This Row],[No.Per1000Adults]]-H5</f>
        <v>10.431025653343966</v>
      </c>
      <c r="J6" t="s">
        <v>67</v>
      </c>
      <c r="K6" t="s">
        <v>68</v>
      </c>
    </row>
    <row r="7" spans="1:11" hidden="1" x14ac:dyDescent="0.25">
      <c r="A7" t="s">
        <v>5</v>
      </c>
      <c r="B7" t="s">
        <v>6</v>
      </c>
      <c r="C7" t="s">
        <v>9</v>
      </c>
      <c r="D7" t="s">
        <v>10</v>
      </c>
      <c r="E7">
        <v>2024</v>
      </c>
      <c r="F7" t="s">
        <v>83</v>
      </c>
      <c r="G7" t="s">
        <v>85</v>
      </c>
      <c r="H7" s="1">
        <v>389.59034934915599</v>
      </c>
      <c r="I7">
        <f>_FIIPer1000[[#This Row],[No.Per1000Adults]]-H6</f>
        <v>-11.998790442380994</v>
      </c>
      <c r="J7" t="s">
        <v>67</v>
      </c>
      <c r="K7" t="s">
        <v>68</v>
      </c>
    </row>
    <row r="8" spans="1:11" hidden="1" x14ac:dyDescent="0.25">
      <c r="A8" t="s">
        <v>5</v>
      </c>
      <c r="B8" t="s">
        <v>6</v>
      </c>
      <c r="C8" t="s">
        <v>11</v>
      </c>
      <c r="D8" t="s">
        <v>12</v>
      </c>
      <c r="E8">
        <v>2019</v>
      </c>
      <c r="F8" t="s">
        <v>83</v>
      </c>
      <c r="G8" t="s">
        <v>85</v>
      </c>
      <c r="J8" t="s">
        <v>67</v>
      </c>
      <c r="K8" t="s">
        <v>68</v>
      </c>
    </row>
    <row r="9" spans="1:11" hidden="1" x14ac:dyDescent="0.25">
      <c r="A9" t="s">
        <v>5</v>
      </c>
      <c r="B9" t="s">
        <v>6</v>
      </c>
      <c r="C9" t="s">
        <v>11</v>
      </c>
      <c r="D9" t="s">
        <v>12</v>
      </c>
      <c r="E9">
        <v>2020</v>
      </c>
      <c r="F9" t="s">
        <v>83</v>
      </c>
      <c r="G9" t="s">
        <v>85</v>
      </c>
      <c r="J9" t="s">
        <v>67</v>
      </c>
      <c r="K9" t="s">
        <v>68</v>
      </c>
    </row>
    <row r="10" spans="1:11" hidden="1" x14ac:dyDescent="0.25">
      <c r="A10" t="s">
        <v>5</v>
      </c>
      <c r="B10" t="s">
        <v>6</v>
      </c>
      <c r="C10" t="s">
        <v>11</v>
      </c>
      <c r="D10" t="s">
        <v>12</v>
      </c>
      <c r="E10">
        <v>2021</v>
      </c>
      <c r="F10" t="s">
        <v>83</v>
      </c>
      <c r="G10" t="s">
        <v>85</v>
      </c>
      <c r="J10" t="s">
        <v>67</v>
      </c>
      <c r="K10" t="s">
        <v>68</v>
      </c>
    </row>
    <row r="11" spans="1:11" hidden="1" x14ac:dyDescent="0.25">
      <c r="A11" t="s">
        <v>5</v>
      </c>
      <c r="B11" t="s">
        <v>6</v>
      </c>
      <c r="C11" t="s">
        <v>11</v>
      </c>
      <c r="D11" t="s">
        <v>12</v>
      </c>
      <c r="E11">
        <v>2022</v>
      </c>
      <c r="F11" t="s">
        <v>83</v>
      </c>
      <c r="G11" t="s">
        <v>85</v>
      </c>
      <c r="J11" t="s">
        <v>67</v>
      </c>
      <c r="K11" t="s">
        <v>68</v>
      </c>
    </row>
    <row r="12" spans="1:11" hidden="1" x14ac:dyDescent="0.25">
      <c r="A12" t="s">
        <v>5</v>
      </c>
      <c r="B12" t="s">
        <v>6</v>
      </c>
      <c r="C12" t="s">
        <v>11</v>
      </c>
      <c r="D12" t="s">
        <v>12</v>
      </c>
      <c r="E12">
        <v>2023</v>
      </c>
      <c r="F12" t="s">
        <v>83</v>
      </c>
      <c r="G12" t="s">
        <v>85</v>
      </c>
      <c r="J12" t="s">
        <v>67</v>
      </c>
      <c r="K12" t="s">
        <v>68</v>
      </c>
    </row>
    <row r="13" spans="1:11" hidden="1" x14ac:dyDescent="0.25">
      <c r="A13" t="s">
        <v>5</v>
      </c>
      <c r="B13" t="s">
        <v>6</v>
      </c>
      <c r="C13" t="s">
        <v>11</v>
      </c>
      <c r="D13" t="s">
        <v>12</v>
      </c>
      <c r="E13">
        <v>2024</v>
      </c>
      <c r="F13" t="s">
        <v>83</v>
      </c>
      <c r="G13" t="s">
        <v>85</v>
      </c>
      <c r="J13" t="s">
        <v>67</v>
      </c>
      <c r="K13" t="s">
        <v>68</v>
      </c>
    </row>
    <row r="14" spans="1:11" hidden="1" x14ac:dyDescent="0.25">
      <c r="A14" t="s">
        <v>5</v>
      </c>
      <c r="B14" t="s">
        <v>6</v>
      </c>
      <c r="C14" t="s">
        <v>13</v>
      </c>
      <c r="D14" t="s">
        <v>14</v>
      </c>
      <c r="E14">
        <v>2019</v>
      </c>
      <c r="F14" t="s">
        <v>83</v>
      </c>
      <c r="G14" t="s">
        <v>85</v>
      </c>
      <c r="H14" s="1">
        <v>667.56212264387796</v>
      </c>
      <c r="J14" t="s">
        <v>67</v>
      </c>
      <c r="K14" t="s">
        <v>68</v>
      </c>
    </row>
    <row r="15" spans="1:11" hidden="1" x14ac:dyDescent="0.25">
      <c r="A15" t="s">
        <v>5</v>
      </c>
      <c r="B15" t="s">
        <v>6</v>
      </c>
      <c r="C15" t="s">
        <v>13</v>
      </c>
      <c r="D15" t="s">
        <v>14</v>
      </c>
      <c r="E15">
        <v>2020</v>
      </c>
      <c r="F15" t="s">
        <v>83</v>
      </c>
      <c r="G15" t="s">
        <v>85</v>
      </c>
      <c r="H15" s="1">
        <v>678.45248070054402</v>
      </c>
      <c r="I15">
        <f>_FIIPer1000[[#This Row],[No.Per1000Adults]]-H14</f>
        <v>10.890358056666059</v>
      </c>
      <c r="J15" t="s">
        <v>67</v>
      </c>
      <c r="K15" t="s">
        <v>68</v>
      </c>
    </row>
    <row r="16" spans="1:11" hidden="1" x14ac:dyDescent="0.25">
      <c r="A16" t="s">
        <v>5</v>
      </c>
      <c r="B16" t="s">
        <v>6</v>
      </c>
      <c r="C16" t="s">
        <v>13</v>
      </c>
      <c r="D16" t="s">
        <v>14</v>
      </c>
      <c r="E16">
        <v>2021</v>
      </c>
      <c r="F16" t="s">
        <v>83</v>
      </c>
      <c r="G16" t="s">
        <v>85</v>
      </c>
      <c r="H16" s="1">
        <v>716.41398068678996</v>
      </c>
      <c r="I16">
        <f>_FIIPer1000[[#This Row],[No.Per1000Adults]]-H15</f>
        <v>37.96149998624594</v>
      </c>
      <c r="J16" t="s">
        <v>67</v>
      </c>
      <c r="K16" t="s">
        <v>68</v>
      </c>
    </row>
    <row r="17" spans="1:11" hidden="1" x14ac:dyDescent="0.25">
      <c r="A17" t="s">
        <v>5</v>
      </c>
      <c r="B17" t="s">
        <v>6</v>
      </c>
      <c r="C17" t="s">
        <v>13</v>
      </c>
      <c r="D17" t="s">
        <v>14</v>
      </c>
      <c r="E17">
        <v>2022</v>
      </c>
      <c r="F17" t="s">
        <v>83</v>
      </c>
      <c r="G17" t="s">
        <v>85</v>
      </c>
      <c r="H17" s="1">
        <v>749.09714800880602</v>
      </c>
      <c r="I17">
        <f>_FIIPer1000[[#This Row],[No.Per1000Adults]]-H16</f>
        <v>32.683167322016061</v>
      </c>
      <c r="J17" t="s">
        <v>67</v>
      </c>
      <c r="K17" t="s">
        <v>68</v>
      </c>
    </row>
    <row r="18" spans="1:11" hidden="1" x14ac:dyDescent="0.25">
      <c r="A18" t="s">
        <v>5</v>
      </c>
      <c r="B18" t="s">
        <v>6</v>
      </c>
      <c r="C18" t="s">
        <v>13</v>
      </c>
      <c r="D18" t="s">
        <v>14</v>
      </c>
      <c r="E18">
        <v>2023</v>
      </c>
      <c r="F18" t="s">
        <v>83</v>
      </c>
      <c r="G18" t="s">
        <v>85</v>
      </c>
      <c r="H18" s="1">
        <v>753.83159656231601</v>
      </c>
      <c r="I18">
        <f>_FIIPer1000[[#This Row],[No.Per1000Adults]]-H17</f>
        <v>4.7344485535099921</v>
      </c>
      <c r="J18" t="s">
        <v>67</v>
      </c>
      <c r="K18" t="s">
        <v>68</v>
      </c>
    </row>
    <row r="19" spans="1:11" hidden="1" x14ac:dyDescent="0.25">
      <c r="A19" t="s">
        <v>5</v>
      </c>
      <c r="B19" t="s">
        <v>6</v>
      </c>
      <c r="C19" t="s">
        <v>13</v>
      </c>
      <c r="D19" t="s">
        <v>14</v>
      </c>
      <c r="E19">
        <v>2024</v>
      </c>
      <c r="F19" t="s">
        <v>83</v>
      </c>
      <c r="G19" t="s">
        <v>85</v>
      </c>
      <c r="H19" s="1">
        <v>767.59795057390795</v>
      </c>
      <c r="I19">
        <f>_FIIPer1000[[#This Row],[No.Per1000Adults]]-H18</f>
        <v>13.766354011591943</v>
      </c>
      <c r="J19" t="s">
        <v>67</v>
      </c>
      <c r="K19" t="s">
        <v>68</v>
      </c>
    </row>
    <row r="20" spans="1:11" hidden="1" x14ac:dyDescent="0.25">
      <c r="A20" t="s">
        <v>5</v>
      </c>
      <c r="B20" t="s">
        <v>6</v>
      </c>
      <c r="C20" t="s">
        <v>15</v>
      </c>
      <c r="D20" t="s">
        <v>16</v>
      </c>
      <c r="E20">
        <v>2019</v>
      </c>
      <c r="F20" t="s">
        <v>83</v>
      </c>
      <c r="G20" t="s">
        <v>85</v>
      </c>
      <c r="J20" t="s">
        <v>67</v>
      </c>
      <c r="K20" t="s">
        <v>68</v>
      </c>
    </row>
    <row r="21" spans="1:11" hidden="1" x14ac:dyDescent="0.25">
      <c r="A21" t="s">
        <v>5</v>
      </c>
      <c r="B21" t="s">
        <v>6</v>
      </c>
      <c r="C21" t="s">
        <v>15</v>
      </c>
      <c r="D21" t="s">
        <v>16</v>
      </c>
      <c r="E21">
        <v>2020</v>
      </c>
      <c r="F21" t="s">
        <v>83</v>
      </c>
      <c r="G21" t="s">
        <v>85</v>
      </c>
      <c r="J21" t="s">
        <v>67</v>
      </c>
      <c r="K21" t="s">
        <v>68</v>
      </c>
    </row>
    <row r="22" spans="1:11" hidden="1" x14ac:dyDescent="0.25">
      <c r="A22" t="s">
        <v>5</v>
      </c>
      <c r="B22" t="s">
        <v>6</v>
      </c>
      <c r="C22" t="s">
        <v>15</v>
      </c>
      <c r="D22" t="s">
        <v>16</v>
      </c>
      <c r="E22">
        <v>2021</v>
      </c>
      <c r="F22" t="s">
        <v>83</v>
      </c>
      <c r="G22" t="s">
        <v>85</v>
      </c>
      <c r="J22" t="s">
        <v>67</v>
      </c>
      <c r="K22" t="s">
        <v>68</v>
      </c>
    </row>
    <row r="23" spans="1:11" hidden="1" x14ac:dyDescent="0.25">
      <c r="A23" t="s">
        <v>5</v>
      </c>
      <c r="B23" t="s">
        <v>6</v>
      </c>
      <c r="C23" t="s">
        <v>15</v>
      </c>
      <c r="D23" t="s">
        <v>16</v>
      </c>
      <c r="E23">
        <v>2022</v>
      </c>
      <c r="F23" t="s">
        <v>83</v>
      </c>
      <c r="G23" t="s">
        <v>85</v>
      </c>
      <c r="J23" t="s">
        <v>67</v>
      </c>
      <c r="K23" t="s">
        <v>68</v>
      </c>
    </row>
    <row r="24" spans="1:11" hidden="1" x14ac:dyDescent="0.25">
      <c r="A24" t="s">
        <v>5</v>
      </c>
      <c r="B24" t="s">
        <v>6</v>
      </c>
      <c r="C24" t="s">
        <v>15</v>
      </c>
      <c r="D24" t="s">
        <v>16</v>
      </c>
      <c r="E24">
        <v>2023</v>
      </c>
      <c r="F24" t="s">
        <v>83</v>
      </c>
      <c r="G24" t="s">
        <v>85</v>
      </c>
      <c r="J24" t="s">
        <v>67</v>
      </c>
      <c r="K24" t="s">
        <v>68</v>
      </c>
    </row>
    <row r="25" spans="1:11" hidden="1" x14ac:dyDescent="0.25">
      <c r="A25" t="s">
        <v>5</v>
      </c>
      <c r="B25" t="s">
        <v>6</v>
      </c>
      <c r="C25" t="s">
        <v>15</v>
      </c>
      <c r="D25" t="s">
        <v>16</v>
      </c>
      <c r="E25">
        <v>2024</v>
      </c>
      <c r="F25" t="s">
        <v>83</v>
      </c>
      <c r="G25" t="s">
        <v>85</v>
      </c>
      <c r="J25" t="s">
        <v>67</v>
      </c>
      <c r="K25" t="s">
        <v>68</v>
      </c>
    </row>
    <row r="26" spans="1:11" hidden="1" x14ac:dyDescent="0.25">
      <c r="A26" t="s">
        <v>5</v>
      </c>
      <c r="B26" t="s">
        <v>6</v>
      </c>
      <c r="C26" t="s">
        <v>19</v>
      </c>
      <c r="D26" t="s">
        <v>20</v>
      </c>
      <c r="E26">
        <v>2019</v>
      </c>
      <c r="F26" t="s">
        <v>83</v>
      </c>
      <c r="G26" t="s">
        <v>85</v>
      </c>
      <c r="J26" t="s">
        <v>67</v>
      </c>
      <c r="K26" t="s">
        <v>68</v>
      </c>
    </row>
    <row r="27" spans="1:11" hidden="1" x14ac:dyDescent="0.25">
      <c r="A27" t="s">
        <v>5</v>
      </c>
      <c r="B27" t="s">
        <v>6</v>
      </c>
      <c r="C27" t="s">
        <v>19</v>
      </c>
      <c r="D27" t="s">
        <v>20</v>
      </c>
      <c r="E27">
        <v>2020</v>
      </c>
      <c r="F27" t="s">
        <v>83</v>
      </c>
      <c r="G27" t="s">
        <v>85</v>
      </c>
      <c r="J27" t="s">
        <v>67</v>
      </c>
      <c r="K27" t="s">
        <v>68</v>
      </c>
    </row>
    <row r="28" spans="1:11" hidden="1" x14ac:dyDescent="0.25">
      <c r="A28" t="s">
        <v>5</v>
      </c>
      <c r="B28" t="s">
        <v>6</v>
      </c>
      <c r="C28" t="s">
        <v>19</v>
      </c>
      <c r="D28" t="s">
        <v>20</v>
      </c>
      <c r="E28">
        <v>2021</v>
      </c>
      <c r="F28" t="s">
        <v>83</v>
      </c>
      <c r="G28" t="s">
        <v>85</v>
      </c>
      <c r="J28" t="s">
        <v>67</v>
      </c>
      <c r="K28" t="s">
        <v>68</v>
      </c>
    </row>
    <row r="29" spans="1:11" hidden="1" x14ac:dyDescent="0.25">
      <c r="A29" t="s">
        <v>5</v>
      </c>
      <c r="B29" t="s">
        <v>6</v>
      </c>
      <c r="C29" t="s">
        <v>19</v>
      </c>
      <c r="D29" t="s">
        <v>20</v>
      </c>
      <c r="E29">
        <v>2022</v>
      </c>
      <c r="F29" t="s">
        <v>83</v>
      </c>
      <c r="G29" t="s">
        <v>85</v>
      </c>
      <c r="J29" t="s">
        <v>67</v>
      </c>
      <c r="K29" t="s">
        <v>68</v>
      </c>
    </row>
    <row r="30" spans="1:11" hidden="1" x14ac:dyDescent="0.25">
      <c r="A30" t="s">
        <v>5</v>
      </c>
      <c r="B30" t="s">
        <v>6</v>
      </c>
      <c r="C30" t="s">
        <v>19</v>
      </c>
      <c r="D30" t="s">
        <v>20</v>
      </c>
      <c r="E30">
        <v>2023</v>
      </c>
      <c r="F30" t="s">
        <v>83</v>
      </c>
      <c r="G30" t="s">
        <v>85</v>
      </c>
      <c r="J30" t="s">
        <v>67</v>
      </c>
      <c r="K30" t="s">
        <v>68</v>
      </c>
    </row>
    <row r="31" spans="1:11" hidden="1" x14ac:dyDescent="0.25">
      <c r="A31" t="s">
        <v>5</v>
      </c>
      <c r="B31" t="s">
        <v>6</v>
      </c>
      <c r="C31" t="s">
        <v>19</v>
      </c>
      <c r="D31" t="s">
        <v>20</v>
      </c>
      <c r="E31">
        <v>2024</v>
      </c>
      <c r="F31" t="s">
        <v>83</v>
      </c>
      <c r="G31" t="s">
        <v>85</v>
      </c>
      <c r="J31" t="s">
        <v>67</v>
      </c>
      <c r="K31" t="s">
        <v>68</v>
      </c>
    </row>
    <row r="32" spans="1:11" hidden="1" x14ac:dyDescent="0.25">
      <c r="A32" t="s">
        <v>5</v>
      </c>
      <c r="B32" t="s">
        <v>6</v>
      </c>
      <c r="C32" t="s">
        <v>21</v>
      </c>
      <c r="D32" t="s">
        <v>22</v>
      </c>
      <c r="E32">
        <v>2019</v>
      </c>
      <c r="F32" t="s">
        <v>83</v>
      </c>
      <c r="G32" t="s">
        <v>85</v>
      </c>
      <c r="J32" t="s">
        <v>67</v>
      </c>
      <c r="K32" t="s">
        <v>68</v>
      </c>
    </row>
    <row r="33" spans="1:11" hidden="1" x14ac:dyDescent="0.25">
      <c r="A33" t="s">
        <v>5</v>
      </c>
      <c r="B33" t="s">
        <v>6</v>
      </c>
      <c r="C33" t="s">
        <v>21</v>
      </c>
      <c r="D33" t="s">
        <v>22</v>
      </c>
      <c r="E33">
        <v>2020</v>
      </c>
      <c r="F33" t="s">
        <v>83</v>
      </c>
      <c r="G33" t="s">
        <v>85</v>
      </c>
      <c r="J33" t="s">
        <v>67</v>
      </c>
      <c r="K33" t="s">
        <v>68</v>
      </c>
    </row>
    <row r="34" spans="1:11" hidden="1" x14ac:dyDescent="0.25">
      <c r="A34" t="s">
        <v>5</v>
      </c>
      <c r="B34" t="s">
        <v>6</v>
      </c>
      <c r="C34" t="s">
        <v>21</v>
      </c>
      <c r="D34" t="s">
        <v>22</v>
      </c>
      <c r="E34">
        <v>2021</v>
      </c>
      <c r="F34" t="s">
        <v>83</v>
      </c>
      <c r="G34" t="s">
        <v>85</v>
      </c>
      <c r="J34" t="s">
        <v>67</v>
      </c>
      <c r="K34" t="s">
        <v>68</v>
      </c>
    </row>
    <row r="35" spans="1:11" hidden="1" x14ac:dyDescent="0.25">
      <c r="A35" t="s">
        <v>5</v>
      </c>
      <c r="B35" t="s">
        <v>6</v>
      </c>
      <c r="C35" t="s">
        <v>21</v>
      </c>
      <c r="D35" t="s">
        <v>22</v>
      </c>
      <c r="E35">
        <v>2022</v>
      </c>
      <c r="F35" t="s">
        <v>83</v>
      </c>
      <c r="G35" t="s">
        <v>85</v>
      </c>
      <c r="J35" t="s">
        <v>67</v>
      </c>
      <c r="K35" t="s">
        <v>68</v>
      </c>
    </row>
    <row r="36" spans="1:11" hidden="1" x14ac:dyDescent="0.25">
      <c r="A36" t="s">
        <v>5</v>
      </c>
      <c r="B36" t="s">
        <v>6</v>
      </c>
      <c r="C36" t="s">
        <v>21</v>
      </c>
      <c r="D36" t="s">
        <v>22</v>
      </c>
      <c r="E36">
        <v>2023</v>
      </c>
      <c r="F36" t="s">
        <v>83</v>
      </c>
      <c r="G36" t="s">
        <v>85</v>
      </c>
      <c r="J36" t="s">
        <v>67</v>
      </c>
      <c r="K36" t="s">
        <v>68</v>
      </c>
    </row>
    <row r="37" spans="1:11" hidden="1" x14ac:dyDescent="0.25">
      <c r="A37" t="s">
        <v>5</v>
      </c>
      <c r="B37" t="s">
        <v>6</v>
      </c>
      <c r="C37" t="s">
        <v>21</v>
      </c>
      <c r="D37" t="s">
        <v>22</v>
      </c>
      <c r="E37">
        <v>2024</v>
      </c>
      <c r="F37" t="s">
        <v>83</v>
      </c>
      <c r="G37" t="s">
        <v>85</v>
      </c>
      <c r="J37" t="s">
        <v>67</v>
      </c>
      <c r="K37" t="s">
        <v>68</v>
      </c>
    </row>
    <row r="38" spans="1:11" hidden="1" x14ac:dyDescent="0.25">
      <c r="A38" t="s">
        <v>5</v>
      </c>
      <c r="B38" t="s">
        <v>6</v>
      </c>
      <c r="C38" t="s">
        <v>23</v>
      </c>
      <c r="D38" t="s">
        <v>24</v>
      </c>
      <c r="E38">
        <v>2019</v>
      </c>
      <c r="F38" t="s">
        <v>83</v>
      </c>
      <c r="G38" t="s">
        <v>85</v>
      </c>
      <c r="J38" t="s">
        <v>67</v>
      </c>
      <c r="K38" t="s">
        <v>68</v>
      </c>
    </row>
    <row r="39" spans="1:11" hidden="1" x14ac:dyDescent="0.25">
      <c r="A39" t="s">
        <v>5</v>
      </c>
      <c r="B39" t="s">
        <v>6</v>
      </c>
      <c r="C39" t="s">
        <v>23</v>
      </c>
      <c r="D39" t="s">
        <v>24</v>
      </c>
      <c r="E39">
        <v>2020</v>
      </c>
      <c r="F39" t="s">
        <v>83</v>
      </c>
      <c r="G39" t="s">
        <v>85</v>
      </c>
      <c r="J39" t="s">
        <v>67</v>
      </c>
      <c r="K39" t="s">
        <v>68</v>
      </c>
    </row>
    <row r="40" spans="1:11" hidden="1" x14ac:dyDescent="0.25">
      <c r="A40" t="s">
        <v>5</v>
      </c>
      <c r="B40" t="s">
        <v>6</v>
      </c>
      <c r="C40" t="s">
        <v>23</v>
      </c>
      <c r="D40" t="s">
        <v>24</v>
      </c>
      <c r="E40">
        <v>2021</v>
      </c>
      <c r="F40" t="s">
        <v>83</v>
      </c>
      <c r="G40" t="s">
        <v>85</v>
      </c>
      <c r="J40" t="s">
        <v>67</v>
      </c>
      <c r="K40" t="s">
        <v>68</v>
      </c>
    </row>
    <row r="41" spans="1:11" hidden="1" x14ac:dyDescent="0.25">
      <c r="A41" t="s">
        <v>5</v>
      </c>
      <c r="B41" t="s">
        <v>6</v>
      </c>
      <c r="C41" t="s">
        <v>23</v>
      </c>
      <c r="D41" t="s">
        <v>24</v>
      </c>
      <c r="E41">
        <v>2022</v>
      </c>
      <c r="F41" t="s">
        <v>83</v>
      </c>
      <c r="G41" t="s">
        <v>85</v>
      </c>
      <c r="J41" t="s">
        <v>67</v>
      </c>
      <c r="K41" t="s">
        <v>68</v>
      </c>
    </row>
    <row r="42" spans="1:11" hidden="1" x14ac:dyDescent="0.25">
      <c r="A42" t="s">
        <v>5</v>
      </c>
      <c r="B42" t="s">
        <v>6</v>
      </c>
      <c r="C42" t="s">
        <v>23</v>
      </c>
      <c r="D42" t="s">
        <v>24</v>
      </c>
      <c r="E42">
        <v>2023</v>
      </c>
      <c r="F42" t="s">
        <v>83</v>
      </c>
      <c r="G42" t="s">
        <v>85</v>
      </c>
      <c r="J42" t="s">
        <v>67</v>
      </c>
      <c r="K42" t="s">
        <v>68</v>
      </c>
    </row>
    <row r="43" spans="1:11" hidden="1" x14ac:dyDescent="0.25">
      <c r="A43" t="s">
        <v>5</v>
      </c>
      <c r="B43" t="s">
        <v>6</v>
      </c>
      <c r="C43" t="s">
        <v>23</v>
      </c>
      <c r="D43" t="s">
        <v>24</v>
      </c>
      <c r="E43">
        <v>2024</v>
      </c>
      <c r="F43" t="s">
        <v>83</v>
      </c>
      <c r="G43" t="s">
        <v>85</v>
      </c>
      <c r="J43" t="s">
        <v>67</v>
      </c>
      <c r="K43" t="s">
        <v>68</v>
      </c>
    </row>
    <row r="44" spans="1:11" hidden="1" x14ac:dyDescent="0.25">
      <c r="A44" t="s">
        <v>5</v>
      </c>
      <c r="B44" t="s">
        <v>6</v>
      </c>
      <c r="C44" t="s">
        <v>33</v>
      </c>
      <c r="D44" t="s">
        <v>34</v>
      </c>
      <c r="E44">
        <v>2019</v>
      </c>
      <c r="F44" t="s">
        <v>83</v>
      </c>
      <c r="G44" t="s">
        <v>85</v>
      </c>
      <c r="J44" t="s">
        <v>67</v>
      </c>
      <c r="K44" t="s">
        <v>68</v>
      </c>
    </row>
    <row r="45" spans="1:11" hidden="1" x14ac:dyDescent="0.25">
      <c r="A45" t="s">
        <v>5</v>
      </c>
      <c r="B45" t="s">
        <v>6</v>
      </c>
      <c r="C45" t="s">
        <v>33</v>
      </c>
      <c r="D45" t="s">
        <v>34</v>
      </c>
      <c r="E45">
        <v>2020</v>
      </c>
      <c r="F45" t="s">
        <v>83</v>
      </c>
      <c r="G45" t="s">
        <v>85</v>
      </c>
      <c r="J45" t="s">
        <v>67</v>
      </c>
      <c r="K45" t="s">
        <v>68</v>
      </c>
    </row>
    <row r="46" spans="1:11" hidden="1" x14ac:dyDescent="0.25">
      <c r="A46" t="s">
        <v>5</v>
      </c>
      <c r="B46" t="s">
        <v>6</v>
      </c>
      <c r="C46" t="s">
        <v>33</v>
      </c>
      <c r="D46" t="s">
        <v>34</v>
      </c>
      <c r="E46">
        <v>2021</v>
      </c>
      <c r="F46" t="s">
        <v>83</v>
      </c>
      <c r="G46" t="s">
        <v>85</v>
      </c>
      <c r="J46" t="s">
        <v>67</v>
      </c>
      <c r="K46" t="s">
        <v>68</v>
      </c>
    </row>
    <row r="47" spans="1:11" hidden="1" x14ac:dyDescent="0.25">
      <c r="A47" t="s">
        <v>5</v>
      </c>
      <c r="B47" t="s">
        <v>6</v>
      </c>
      <c r="C47" t="s">
        <v>33</v>
      </c>
      <c r="D47" t="s">
        <v>34</v>
      </c>
      <c r="E47">
        <v>2022</v>
      </c>
      <c r="F47" t="s">
        <v>83</v>
      </c>
      <c r="G47" t="s">
        <v>85</v>
      </c>
      <c r="J47" t="s">
        <v>67</v>
      </c>
      <c r="K47" t="s">
        <v>68</v>
      </c>
    </row>
    <row r="48" spans="1:11" hidden="1" x14ac:dyDescent="0.25">
      <c r="A48" t="s">
        <v>5</v>
      </c>
      <c r="B48" t="s">
        <v>6</v>
      </c>
      <c r="C48" t="s">
        <v>33</v>
      </c>
      <c r="D48" t="s">
        <v>34</v>
      </c>
      <c r="E48">
        <v>2023</v>
      </c>
      <c r="F48" t="s">
        <v>83</v>
      </c>
      <c r="G48" t="s">
        <v>85</v>
      </c>
      <c r="J48" t="s">
        <v>67</v>
      </c>
      <c r="K48" t="s">
        <v>68</v>
      </c>
    </row>
    <row r="49" spans="1:11" hidden="1" x14ac:dyDescent="0.25">
      <c r="A49" t="s">
        <v>5</v>
      </c>
      <c r="B49" t="s">
        <v>6</v>
      </c>
      <c r="C49" t="s">
        <v>33</v>
      </c>
      <c r="D49" t="s">
        <v>34</v>
      </c>
      <c r="E49">
        <v>2024</v>
      </c>
      <c r="F49" t="s">
        <v>83</v>
      </c>
      <c r="G49" t="s">
        <v>85</v>
      </c>
      <c r="J49" t="s">
        <v>67</v>
      </c>
      <c r="K49" t="s">
        <v>68</v>
      </c>
    </row>
    <row r="50" spans="1:11" hidden="1" x14ac:dyDescent="0.25">
      <c r="A50" t="s">
        <v>5</v>
      </c>
      <c r="B50" t="s">
        <v>6</v>
      </c>
      <c r="C50" t="s">
        <v>31</v>
      </c>
      <c r="D50" t="s">
        <v>32</v>
      </c>
      <c r="E50">
        <v>2019</v>
      </c>
      <c r="F50" t="s">
        <v>83</v>
      </c>
      <c r="G50" t="s">
        <v>85</v>
      </c>
      <c r="J50" t="s">
        <v>67</v>
      </c>
      <c r="K50" t="s">
        <v>68</v>
      </c>
    </row>
    <row r="51" spans="1:11" hidden="1" x14ac:dyDescent="0.25">
      <c r="A51" t="s">
        <v>5</v>
      </c>
      <c r="B51" t="s">
        <v>6</v>
      </c>
      <c r="C51" t="s">
        <v>31</v>
      </c>
      <c r="D51" t="s">
        <v>32</v>
      </c>
      <c r="E51">
        <v>2020</v>
      </c>
      <c r="F51" t="s">
        <v>83</v>
      </c>
      <c r="G51" t="s">
        <v>85</v>
      </c>
      <c r="J51" t="s">
        <v>67</v>
      </c>
      <c r="K51" t="s">
        <v>68</v>
      </c>
    </row>
    <row r="52" spans="1:11" hidden="1" x14ac:dyDescent="0.25">
      <c r="A52" t="s">
        <v>5</v>
      </c>
      <c r="B52" t="s">
        <v>6</v>
      </c>
      <c r="C52" t="s">
        <v>31</v>
      </c>
      <c r="D52" t="s">
        <v>32</v>
      </c>
      <c r="E52">
        <v>2021</v>
      </c>
      <c r="F52" t="s">
        <v>83</v>
      </c>
      <c r="G52" t="s">
        <v>85</v>
      </c>
      <c r="J52" t="s">
        <v>67</v>
      </c>
      <c r="K52" t="s">
        <v>68</v>
      </c>
    </row>
    <row r="53" spans="1:11" hidden="1" x14ac:dyDescent="0.25">
      <c r="A53" t="s">
        <v>5</v>
      </c>
      <c r="B53" t="s">
        <v>6</v>
      </c>
      <c r="C53" t="s">
        <v>31</v>
      </c>
      <c r="D53" t="s">
        <v>32</v>
      </c>
      <c r="E53">
        <v>2022</v>
      </c>
      <c r="F53" t="s">
        <v>83</v>
      </c>
      <c r="G53" t="s">
        <v>85</v>
      </c>
      <c r="J53" t="s">
        <v>67</v>
      </c>
      <c r="K53" t="s">
        <v>68</v>
      </c>
    </row>
    <row r="54" spans="1:11" hidden="1" x14ac:dyDescent="0.25">
      <c r="A54" t="s">
        <v>5</v>
      </c>
      <c r="B54" t="s">
        <v>6</v>
      </c>
      <c r="C54" t="s">
        <v>31</v>
      </c>
      <c r="D54" t="s">
        <v>32</v>
      </c>
      <c r="E54">
        <v>2023</v>
      </c>
      <c r="F54" t="s">
        <v>83</v>
      </c>
      <c r="G54" t="s">
        <v>85</v>
      </c>
      <c r="J54" t="s">
        <v>67</v>
      </c>
      <c r="K54" t="s">
        <v>68</v>
      </c>
    </row>
    <row r="55" spans="1:11" hidden="1" x14ac:dyDescent="0.25">
      <c r="A55" t="s">
        <v>5</v>
      </c>
      <c r="B55" t="s">
        <v>6</v>
      </c>
      <c r="C55" t="s">
        <v>31</v>
      </c>
      <c r="D55" t="s">
        <v>32</v>
      </c>
      <c r="E55">
        <v>2024</v>
      </c>
      <c r="F55" t="s">
        <v>83</v>
      </c>
      <c r="G55" t="s">
        <v>85</v>
      </c>
      <c r="J55" t="s">
        <v>67</v>
      </c>
      <c r="K55" t="s">
        <v>68</v>
      </c>
    </row>
    <row r="56" spans="1:11" hidden="1" x14ac:dyDescent="0.25">
      <c r="A56" t="s">
        <v>5</v>
      </c>
      <c r="B56" t="s">
        <v>6</v>
      </c>
      <c r="C56" t="s">
        <v>35</v>
      </c>
      <c r="D56" t="s">
        <v>36</v>
      </c>
      <c r="E56">
        <v>2019</v>
      </c>
      <c r="F56" t="s">
        <v>83</v>
      </c>
      <c r="G56" t="s">
        <v>85</v>
      </c>
      <c r="J56" t="s">
        <v>67</v>
      </c>
      <c r="K56" t="s">
        <v>68</v>
      </c>
    </row>
    <row r="57" spans="1:11" hidden="1" x14ac:dyDescent="0.25">
      <c r="A57" t="s">
        <v>5</v>
      </c>
      <c r="B57" t="s">
        <v>6</v>
      </c>
      <c r="C57" t="s">
        <v>35</v>
      </c>
      <c r="D57" t="s">
        <v>36</v>
      </c>
      <c r="E57">
        <v>2020</v>
      </c>
      <c r="F57" t="s">
        <v>83</v>
      </c>
      <c r="G57" t="s">
        <v>85</v>
      </c>
      <c r="J57" t="s">
        <v>67</v>
      </c>
      <c r="K57" t="s">
        <v>68</v>
      </c>
    </row>
    <row r="58" spans="1:11" hidden="1" x14ac:dyDescent="0.25">
      <c r="A58" t="s">
        <v>5</v>
      </c>
      <c r="B58" t="s">
        <v>6</v>
      </c>
      <c r="C58" t="s">
        <v>35</v>
      </c>
      <c r="D58" t="s">
        <v>36</v>
      </c>
      <c r="E58">
        <v>2021</v>
      </c>
      <c r="F58" t="s">
        <v>83</v>
      </c>
      <c r="G58" t="s">
        <v>85</v>
      </c>
      <c r="J58" t="s">
        <v>67</v>
      </c>
      <c r="K58" t="s">
        <v>68</v>
      </c>
    </row>
    <row r="59" spans="1:11" hidden="1" x14ac:dyDescent="0.25">
      <c r="A59" t="s">
        <v>5</v>
      </c>
      <c r="B59" t="s">
        <v>6</v>
      </c>
      <c r="C59" t="s">
        <v>35</v>
      </c>
      <c r="D59" t="s">
        <v>36</v>
      </c>
      <c r="E59">
        <v>2022</v>
      </c>
      <c r="F59" t="s">
        <v>83</v>
      </c>
      <c r="G59" t="s">
        <v>85</v>
      </c>
      <c r="J59" t="s">
        <v>67</v>
      </c>
      <c r="K59" t="s">
        <v>68</v>
      </c>
    </row>
    <row r="60" spans="1:11" hidden="1" x14ac:dyDescent="0.25">
      <c r="A60" t="s">
        <v>5</v>
      </c>
      <c r="B60" t="s">
        <v>6</v>
      </c>
      <c r="C60" t="s">
        <v>35</v>
      </c>
      <c r="D60" t="s">
        <v>36</v>
      </c>
      <c r="E60">
        <v>2023</v>
      </c>
      <c r="F60" t="s">
        <v>83</v>
      </c>
      <c r="G60" t="s">
        <v>85</v>
      </c>
      <c r="J60" t="s">
        <v>67</v>
      </c>
      <c r="K60" t="s">
        <v>68</v>
      </c>
    </row>
    <row r="61" spans="1:11" hidden="1" x14ac:dyDescent="0.25">
      <c r="A61" t="s">
        <v>5</v>
      </c>
      <c r="B61" t="s">
        <v>6</v>
      </c>
      <c r="C61" t="s">
        <v>35</v>
      </c>
      <c r="D61" t="s">
        <v>36</v>
      </c>
      <c r="E61">
        <v>2024</v>
      </c>
      <c r="F61" t="s">
        <v>83</v>
      </c>
      <c r="G61" t="s">
        <v>85</v>
      </c>
      <c r="J61" t="s">
        <v>67</v>
      </c>
      <c r="K61" t="s">
        <v>68</v>
      </c>
    </row>
    <row r="62" spans="1:11" hidden="1" x14ac:dyDescent="0.25">
      <c r="A62" t="s">
        <v>5</v>
      </c>
      <c r="B62" t="s">
        <v>6</v>
      </c>
      <c r="C62" t="s">
        <v>7</v>
      </c>
      <c r="D62" t="s">
        <v>8</v>
      </c>
      <c r="E62">
        <v>2019</v>
      </c>
      <c r="F62" t="s">
        <v>83</v>
      </c>
      <c r="G62" t="s">
        <v>85</v>
      </c>
      <c r="H62" s="3">
        <v>161.35582265152499</v>
      </c>
      <c r="J62" t="s">
        <v>67</v>
      </c>
      <c r="K62" t="s">
        <v>68</v>
      </c>
    </row>
    <row r="63" spans="1:11" hidden="1" x14ac:dyDescent="0.25">
      <c r="A63" t="s">
        <v>5</v>
      </c>
      <c r="B63" t="s">
        <v>6</v>
      </c>
      <c r="C63" t="s">
        <v>7</v>
      </c>
      <c r="D63" t="s">
        <v>8</v>
      </c>
      <c r="E63">
        <v>2020</v>
      </c>
      <c r="F63" t="s">
        <v>83</v>
      </c>
      <c r="G63" t="s">
        <v>85</v>
      </c>
      <c r="H63" s="3">
        <v>145.19474697015801</v>
      </c>
      <c r="I63">
        <f>_FIIPer1000[[#This Row],[No.Per1000Adults]]-H62</f>
        <v>-16.161075681366981</v>
      </c>
      <c r="J63" t="s">
        <v>67</v>
      </c>
      <c r="K63" t="s">
        <v>68</v>
      </c>
    </row>
    <row r="64" spans="1:11" hidden="1" x14ac:dyDescent="0.25">
      <c r="A64" t="s">
        <v>5</v>
      </c>
      <c r="B64" t="s">
        <v>6</v>
      </c>
      <c r="C64" t="s">
        <v>7</v>
      </c>
      <c r="D64" t="s">
        <v>8</v>
      </c>
      <c r="E64">
        <v>2021</v>
      </c>
      <c r="F64" t="s">
        <v>83</v>
      </c>
      <c r="G64" t="s">
        <v>85</v>
      </c>
      <c r="H64" s="3">
        <v>171.778925278663</v>
      </c>
      <c r="I64">
        <f>_FIIPer1000[[#This Row],[No.Per1000Adults]]-H63</f>
        <v>26.584178308504988</v>
      </c>
      <c r="J64" t="s">
        <v>67</v>
      </c>
      <c r="K64" t="s">
        <v>68</v>
      </c>
    </row>
    <row r="65" spans="1:11" hidden="1" x14ac:dyDescent="0.25">
      <c r="A65" t="s">
        <v>5</v>
      </c>
      <c r="B65" t="s">
        <v>6</v>
      </c>
      <c r="C65" t="s">
        <v>7</v>
      </c>
      <c r="D65" t="s">
        <v>8</v>
      </c>
      <c r="E65">
        <v>2022</v>
      </c>
      <c r="F65" t="s">
        <v>83</v>
      </c>
      <c r="G65" t="s">
        <v>85</v>
      </c>
      <c r="H65" s="3">
        <v>176.76725099349201</v>
      </c>
      <c r="I65">
        <f>_FIIPer1000[[#This Row],[No.Per1000Adults]]-H64</f>
        <v>4.988325714829017</v>
      </c>
      <c r="J65" t="s">
        <v>67</v>
      </c>
      <c r="K65" t="s">
        <v>68</v>
      </c>
    </row>
    <row r="66" spans="1:11" hidden="1" x14ac:dyDescent="0.25">
      <c r="A66" t="s">
        <v>5</v>
      </c>
      <c r="B66" t="s">
        <v>6</v>
      </c>
      <c r="C66" t="s">
        <v>7</v>
      </c>
      <c r="D66" t="s">
        <v>8</v>
      </c>
      <c r="E66">
        <v>2023</v>
      </c>
      <c r="F66" t="s">
        <v>83</v>
      </c>
      <c r="G66" t="s">
        <v>85</v>
      </c>
      <c r="H66" s="3">
        <v>219.45483791322599</v>
      </c>
      <c r="I66">
        <f>_FIIPer1000[[#This Row],[No.Per1000Adults]]-H65</f>
        <v>42.687586919733974</v>
      </c>
      <c r="J66" t="s">
        <v>67</v>
      </c>
      <c r="K66" t="s">
        <v>68</v>
      </c>
    </row>
    <row r="67" spans="1:11" hidden="1" x14ac:dyDescent="0.25">
      <c r="A67" t="s">
        <v>5</v>
      </c>
      <c r="B67" t="s">
        <v>6</v>
      </c>
      <c r="C67" t="s">
        <v>7</v>
      </c>
      <c r="D67" t="s">
        <v>8</v>
      </c>
      <c r="E67">
        <v>2024</v>
      </c>
      <c r="F67" t="s">
        <v>83</v>
      </c>
      <c r="G67" t="s">
        <v>85</v>
      </c>
      <c r="H67" s="3">
        <v>234.68479064640701</v>
      </c>
      <c r="I67">
        <f>_FIIPer1000[[#This Row],[No.Per1000Adults]]-H66</f>
        <v>15.229952733181022</v>
      </c>
      <c r="J67" t="s">
        <v>67</v>
      </c>
      <c r="K67" t="s">
        <v>68</v>
      </c>
    </row>
    <row r="68" spans="1:11" hidden="1" x14ac:dyDescent="0.25">
      <c r="A68" t="s">
        <v>5</v>
      </c>
      <c r="B68" t="s">
        <v>6</v>
      </c>
      <c r="C68" t="s">
        <v>37</v>
      </c>
      <c r="D68" t="s">
        <v>38</v>
      </c>
      <c r="E68">
        <v>2019</v>
      </c>
      <c r="F68" t="s">
        <v>83</v>
      </c>
      <c r="G68" t="s">
        <v>85</v>
      </c>
      <c r="J68" t="s">
        <v>67</v>
      </c>
      <c r="K68" t="s">
        <v>68</v>
      </c>
    </row>
    <row r="69" spans="1:11" hidden="1" x14ac:dyDescent="0.25">
      <c r="A69" t="s">
        <v>5</v>
      </c>
      <c r="B69" t="s">
        <v>6</v>
      </c>
      <c r="C69" t="s">
        <v>37</v>
      </c>
      <c r="D69" t="s">
        <v>38</v>
      </c>
      <c r="E69">
        <v>2020</v>
      </c>
      <c r="F69" t="s">
        <v>83</v>
      </c>
      <c r="G69" t="s">
        <v>85</v>
      </c>
      <c r="J69" t="s">
        <v>67</v>
      </c>
      <c r="K69" t="s">
        <v>68</v>
      </c>
    </row>
    <row r="70" spans="1:11" hidden="1" x14ac:dyDescent="0.25">
      <c r="A70" t="s">
        <v>5</v>
      </c>
      <c r="B70" t="s">
        <v>6</v>
      </c>
      <c r="C70" t="s">
        <v>37</v>
      </c>
      <c r="D70" t="s">
        <v>38</v>
      </c>
      <c r="E70">
        <v>2021</v>
      </c>
      <c r="F70" t="s">
        <v>83</v>
      </c>
      <c r="G70" t="s">
        <v>85</v>
      </c>
      <c r="J70" t="s">
        <v>67</v>
      </c>
      <c r="K70" t="s">
        <v>68</v>
      </c>
    </row>
    <row r="71" spans="1:11" hidden="1" x14ac:dyDescent="0.25">
      <c r="A71" t="s">
        <v>5</v>
      </c>
      <c r="B71" t="s">
        <v>6</v>
      </c>
      <c r="C71" t="s">
        <v>37</v>
      </c>
      <c r="D71" t="s">
        <v>38</v>
      </c>
      <c r="E71">
        <v>2022</v>
      </c>
      <c r="F71" t="s">
        <v>83</v>
      </c>
      <c r="G71" t="s">
        <v>85</v>
      </c>
      <c r="J71" t="s">
        <v>67</v>
      </c>
      <c r="K71" t="s">
        <v>68</v>
      </c>
    </row>
    <row r="72" spans="1:11" hidden="1" x14ac:dyDescent="0.25">
      <c r="A72" t="s">
        <v>5</v>
      </c>
      <c r="B72" t="s">
        <v>6</v>
      </c>
      <c r="C72" t="s">
        <v>37</v>
      </c>
      <c r="D72" t="s">
        <v>38</v>
      </c>
      <c r="E72">
        <v>2023</v>
      </c>
      <c r="F72" t="s">
        <v>83</v>
      </c>
      <c r="G72" t="s">
        <v>85</v>
      </c>
      <c r="J72" t="s">
        <v>67</v>
      </c>
      <c r="K72" t="s">
        <v>68</v>
      </c>
    </row>
    <row r="73" spans="1:11" hidden="1" x14ac:dyDescent="0.25">
      <c r="A73" t="s">
        <v>5</v>
      </c>
      <c r="B73" t="s">
        <v>6</v>
      </c>
      <c r="C73" t="s">
        <v>37</v>
      </c>
      <c r="D73" t="s">
        <v>38</v>
      </c>
      <c r="E73">
        <v>2024</v>
      </c>
      <c r="F73" t="s">
        <v>83</v>
      </c>
      <c r="G73" t="s">
        <v>85</v>
      </c>
      <c r="J73" t="s">
        <v>67</v>
      </c>
      <c r="K73" t="s">
        <v>68</v>
      </c>
    </row>
    <row r="74" spans="1:11" hidden="1" x14ac:dyDescent="0.25">
      <c r="A74" t="s">
        <v>5</v>
      </c>
      <c r="B74" t="s">
        <v>6</v>
      </c>
      <c r="C74" t="s">
        <v>43</v>
      </c>
      <c r="D74" t="s">
        <v>44</v>
      </c>
      <c r="E74">
        <v>2019</v>
      </c>
      <c r="F74" t="s">
        <v>83</v>
      </c>
      <c r="G74" t="s">
        <v>85</v>
      </c>
      <c r="J74" t="s">
        <v>67</v>
      </c>
      <c r="K74" t="s">
        <v>68</v>
      </c>
    </row>
    <row r="75" spans="1:11" hidden="1" x14ac:dyDescent="0.25">
      <c r="A75" t="s">
        <v>5</v>
      </c>
      <c r="B75" t="s">
        <v>6</v>
      </c>
      <c r="C75" t="s">
        <v>43</v>
      </c>
      <c r="D75" t="s">
        <v>44</v>
      </c>
      <c r="E75">
        <v>2020</v>
      </c>
      <c r="F75" t="s">
        <v>83</v>
      </c>
      <c r="G75" t="s">
        <v>85</v>
      </c>
      <c r="J75" t="s">
        <v>67</v>
      </c>
      <c r="K75" t="s">
        <v>68</v>
      </c>
    </row>
    <row r="76" spans="1:11" hidden="1" x14ac:dyDescent="0.25">
      <c r="A76" t="s">
        <v>5</v>
      </c>
      <c r="B76" t="s">
        <v>6</v>
      </c>
      <c r="C76" t="s">
        <v>43</v>
      </c>
      <c r="D76" t="s">
        <v>44</v>
      </c>
      <c r="E76">
        <v>2021</v>
      </c>
      <c r="F76" t="s">
        <v>83</v>
      </c>
      <c r="G76" t="s">
        <v>85</v>
      </c>
      <c r="J76" t="s">
        <v>67</v>
      </c>
      <c r="K76" t="s">
        <v>68</v>
      </c>
    </row>
    <row r="77" spans="1:11" hidden="1" x14ac:dyDescent="0.25">
      <c r="A77" t="s">
        <v>5</v>
      </c>
      <c r="B77" t="s">
        <v>6</v>
      </c>
      <c r="C77" t="s">
        <v>43</v>
      </c>
      <c r="D77" t="s">
        <v>44</v>
      </c>
      <c r="E77">
        <v>2022</v>
      </c>
      <c r="F77" t="s">
        <v>83</v>
      </c>
      <c r="G77" t="s">
        <v>85</v>
      </c>
      <c r="J77" t="s">
        <v>67</v>
      </c>
      <c r="K77" t="s">
        <v>68</v>
      </c>
    </row>
    <row r="78" spans="1:11" hidden="1" x14ac:dyDescent="0.25">
      <c r="A78" t="s">
        <v>5</v>
      </c>
      <c r="B78" t="s">
        <v>6</v>
      </c>
      <c r="C78" t="s">
        <v>43</v>
      </c>
      <c r="D78" t="s">
        <v>44</v>
      </c>
      <c r="E78">
        <v>2023</v>
      </c>
      <c r="F78" t="s">
        <v>83</v>
      </c>
      <c r="G78" t="s">
        <v>85</v>
      </c>
      <c r="J78" t="s">
        <v>67</v>
      </c>
      <c r="K78" t="s">
        <v>68</v>
      </c>
    </row>
    <row r="79" spans="1:11" hidden="1" x14ac:dyDescent="0.25">
      <c r="A79" t="s">
        <v>5</v>
      </c>
      <c r="B79" t="s">
        <v>6</v>
      </c>
      <c r="C79" t="s">
        <v>43</v>
      </c>
      <c r="D79" t="s">
        <v>44</v>
      </c>
      <c r="E79">
        <v>2024</v>
      </c>
      <c r="F79" t="s">
        <v>83</v>
      </c>
      <c r="G79" t="s">
        <v>85</v>
      </c>
      <c r="J79" t="s">
        <v>67</v>
      </c>
      <c r="K79" t="s">
        <v>68</v>
      </c>
    </row>
    <row r="80" spans="1:11" hidden="1" x14ac:dyDescent="0.25">
      <c r="A80" t="s">
        <v>5</v>
      </c>
      <c r="B80" t="s">
        <v>6</v>
      </c>
      <c r="C80" t="s">
        <v>17</v>
      </c>
      <c r="D80" t="s">
        <v>18</v>
      </c>
      <c r="E80">
        <v>2019</v>
      </c>
      <c r="F80" t="s">
        <v>83</v>
      </c>
      <c r="G80" t="s">
        <v>85</v>
      </c>
      <c r="H80" s="1">
        <v>503.71543976328002</v>
      </c>
      <c r="J80" t="s">
        <v>67</v>
      </c>
      <c r="K80" t="s">
        <v>68</v>
      </c>
    </row>
    <row r="81" spans="1:11" hidden="1" x14ac:dyDescent="0.25">
      <c r="A81" t="s">
        <v>5</v>
      </c>
      <c r="B81" t="s">
        <v>6</v>
      </c>
      <c r="C81" t="s">
        <v>17</v>
      </c>
      <c r="D81" t="s">
        <v>18</v>
      </c>
      <c r="E81">
        <v>2020</v>
      </c>
      <c r="F81" t="s">
        <v>83</v>
      </c>
      <c r="G81" t="s">
        <v>85</v>
      </c>
      <c r="H81" s="1">
        <v>534.087440261506</v>
      </c>
      <c r="I81">
        <f>_FIIPer1000[[#This Row],[No.Per1000Adults]]-H80</f>
        <v>30.372000498225987</v>
      </c>
      <c r="J81" t="s">
        <v>67</v>
      </c>
      <c r="K81" t="s">
        <v>68</v>
      </c>
    </row>
    <row r="82" spans="1:11" hidden="1" x14ac:dyDescent="0.25">
      <c r="A82" t="s">
        <v>5</v>
      </c>
      <c r="B82" t="s">
        <v>6</v>
      </c>
      <c r="C82" t="s">
        <v>17</v>
      </c>
      <c r="D82" t="s">
        <v>18</v>
      </c>
      <c r="E82">
        <v>2021</v>
      </c>
      <c r="F82" t="s">
        <v>83</v>
      </c>
      <c r="G82" t="s">
        <v>85</v>
      </c>
      <c r="H82" s="1">
        <v>566.16220790031298</v>
      </c>
      <c r="I82">
        <f>_FIIPer1000[[#This Row],[No.Per1000Adults]]-H81</f>
        <v>32.074767638806975</v>
      </c>
      <c r="J82" t="s">
        <v>67</v>
      </c>
      <c r="K82" t="s">
        <v>68</v>
      </c>
    </row>
    <row r="83" spans="1:11" hidden="1" x14ac:dyDescent="0.25">
      <c r="A83" t="s">
        <v>5</v>
      </c>
      <c r="B83" t="s">
        <v>6</v>
      </c>
      <c r="C83" t="s">
        <v>17</v>
      </c>
      <c r="D83" t="s">
        <v>18</v>
      </c>
      <c r="E83">
        <v>2022</v>
      </c>
      <c r="F83" t="s">
        <v>83</v>
      </c>
      <c r="G83" t="s">
        <v>85</v>
      </c>
      <c r="H83" s="1">
        <v>607.06505126243496</v>
      </c>
      <c r="I83">
        <f>_FIIPer1000[[#This Row],[No.Per1000Adults]]-H82</f>
        <v>40.902843362121985</v>
      </c>
      <c r="J83" t="s">
        <v>67</v>
      </c>
      <c r="K83" t="s">
        <v>68</v>
      </c>
    </row>
    <row r="84" spans="1:11" hidden="1" x14ac:dyDescent="0.25">
      <c r="A84" t="s">
        <v>5</v>
      </c>
      <c r="B84" t="s">
        <v>6</v>
      </c>
      <c r="C84" t="s">
        <v>17</v>
      </c>
      <c r="D84" t="s">
        <v>18</v>
      </c>
      <c r="E84">
        <v>2023</v>
      </c>
      <c r="F84" t="s">
        <v>83</v>
      </c>
      <c r="G84" t="s">
        <v>85</v>
      </c>
      <c r="H84" s="1">
        <v>639.19745307252299</v>
      </c>
      <c r="I84">
        <f>_FIIPer1000[[#This Row],[No.Per1000Adults]]-H83</f>
        <v>32.132401810088027</v>
      </c>
      <c r="J84" t="s">
        <v>67</v>
      </c>
      <c r="K84" t="s">
        <v>68</v>
      </c>
    </row>
    <row r="85" spans="1:11" hidden="1" x14ac:dyDescent="0.25">
      <c r="A85" t="s">
        <v>5</v>
      </c>
      <c r="B85" t="s">
        <v>6</v>
      </c>
      <c r="C85" t="s">
        <v>17</v>
      </c>
      <c r="D85" t="s">
        <v>18</v>
      </c>
      <c r="E85">
        <v>2024</v>
      </c>
      <c r="F85" t="s">
        <v>83</v>
      </c>
      <c r="G85" t="s">
        <v>85</v>
      </c>
      <c r="H85" s="1">
        <v>662.05500291059298</v>
      </c>
      <c r="I85">
        <f>_FIIPer1000[[#This Row],[No.Per1000Adults]]-H84</f>
        <v>22.857549838069986</v>
      </c>
      <c r="J85" t="s">
        <v>67</v>
      </c>
      <c r="K85" t="s">
        <v>68</v>
      </c>
    </row>
    <row r="86" spans="1:11" hidden="1" x14ac:dyDescent="0.25">
      <c r="A86" t="s">
        <v>5</v>
      </c>
      <c r="B86" t="s">
        <v>6</v>
      </c>
      <c r="C86" t="s">
        <v>25</v>
      </c>
      <c r="D86" t="s">
        <v>26</v>
      </c>
      <c r="E86">
        <v>2019</v>
      </c>
      <c r="F86" t="s">
        <v>83</v>
      </c>
      <c r="G86" t="s">
        <v>85</v>
      </c>
      <c r="H86" s="1">
        <v>210.45618271714801</v>
      </c>
      <c r="J86" t="s">
        <v>67</v>
      </c>
      <c r="K86" t="s">
        <v>68</v>
      </c>
    </row>
    <row r="87" spans="1:11" hidden="1" x14ac:dyDescent="0.25">
      <c r="A87" t="s">
        <v>5</v>
      </c>
      <c r="B87" t="s">
        <v>6</v>
      </c>
      <c r="C87" t="s">
        <v>25</v>
      </c>
      <c r="D87" t="s">
        <v>26</v>
      </c>
      <c r="E87">
        <v>2020</v>
      </c>
      <c r="F87" t="s">
        <v>83</v>
      </c>
      <c r="G87" t="s">
        <v>85</v>
      </c>
      <c r="H87" s="1">
        <v>209.67125224719999</v>
      </c>
      <c r="I87">
        <f>_FIIPer1000[[#This Row],[No.Per1000Adults]]-H86</f>
        <v>-0.78493046994802285</v>
      </c>
      <c r="J87" t="s">
        <v>67</v>
      </c>
      <c r="K87" t="s">
        <v>68</v>
      </c>
    </row>
    <row r="88" spans="1:11" hidden="1" x14ac:dyDescent="0.25">
      <c r="A88" t="s">
        <v>5</v>
      </c>
      <c r="B88" t="s">
        <v>6</v>
      </c>
      <c r="C88" t="s">
        <v>25</v>
      </c>
      <c r="D88" t="s">
        <v>26</v>
      </c>
      <c r="E88">
        <v>2021</v>
      </c>
      <c r="F88" t="s">
        <v>83</v>
      </c>
      <c r="G88" t="s">
        <v>85</v>
      </c>
      <c r="H88" s="1">
        <v>252.48120719953801</v>
      </c>
      <c r="I88">
        <f>_FIIPer1000[[#This Row],[No.Per1000Adults]]-H87</f>
        <v>42.809954952338018</v>
      </c>
      <c r="J88" t="s">
        <v>67</v>
      </c>
      <c r="K88" t="s">
        <v>68</v>
      </c>
    </row>
    <row r="89" spans="1:11" hidden="1" x14ac:dyDescent="0.25">
      <c r="A89" t="s">
        <v>5</v>
      </c>
      <c r="B89" t="s">
        <v>6</v>
      </c>
      <c r="C89" t="s">
        <v>25</v>
      </c>
      <c r="D89" t="s">
        <v>26</v>
      </c>
      <c r="E89">
        <v>2022</v>
      </c>
      <c r="F89" t="s">
        <v>83</v>
      </c>
      <c r="G89" t="s">
        <v>85</v>
      </c>
      <c r="H89" s="1">
        <v>302.58650561877101</v>
      </c>
      <c r="I89">
        <f>_FIIPer1000[[#This Row],[No.Per1000Adults]]-H88</f>
        <v>50.105298419233009</v>
      </c>
      <c r="J89" t="s">
        <v>67</v>
      </c>
      <c r="K89" t="s">
        <v>68</v>
      </c>
    </row>
    <row r="90" spans="1:11" hidden="1" x14ac:dyDescent="0.25">
      <c r="A90" t="s">
        <v>5</v>
      </c>
      <c r="B90" t="s">
        <v>6</v>
      </c>
      <c r="C90" t="s">
        <v>25</v>
      </c>
      <c r="D90" t="s">
        <v>26</v>
      </c>
      <c r="E90">
        <v>2023</v>
      </c>
      <c r="F90" t="s">
        <v>83</v>
      </c>
      <c r="G90" t="s">
        <v>85</v>
      </c>
      <c r="H90" s="1">
        <v>326.09895691954699</v>
      </c>
      <c r="I90">
        <f>_FIIPer1000[[#This Row],[No.Per1000Adults]]-H89</f>
        <v>23.512451300775979</v>
      </c>
      <c r="J90" t="s">
        <v>67</v>
      </c>
      <c r="K90" t="s">
        <v>68</v>
      </c>
    </row>
    <row r="91" spans="1:11" hidden="1" x14ac:dyDescent="0.25">
      <c r="A91" t="s">
        <v>5</v>
      </c>
      <c r="B91" t="s">
        <v>6</v>
      </c>
      <c r="C91" t="s">
        <v>25</v>
      </c>
      <c r="D91" t="s">
        <v>26</v>
      </c>
      <c r="E91">
        <v>2024</v>
      </c>
      <c r="F91" t="s">
        <v>83</v>
      </c>
      <c r="G91" t="s">
        <v>85</v>
      </c>
      <c r="H91" s="1">
        <v>358.68386547990798</v>
      </c>
      <c r="I91">
        <f>_FIIPer1000[[#This Row],[No.Per1000Adults]]-H90</f>
        <v>32.584908560360986</v>
      </c>
      <c r="J91" t="s">
        <v>67</v>
      </c>
      <c r="K91" t="s">
        <v>68</v>
      </c>
    </row>
    <row r="92" spans="1:11" hidden="1" x14ac:dyDescent="0.25">
      <c r="A92" t="s">
        <v>5</v>
      </c>
      <c r="B92" t="s">
        <v>6</v>
      </c>
      <c r="C92" t="s">
        <v>27</v>
      </c>
      <c r="D92" t="s">
        <v>28</v>
      </c>
      <c r="E92">
        <v>2019</v>
      </c>
      <c r="F92" t="s">
        <v>83</v>
      </c>
      <c r="G92" t="s">
        <v>85</v>
      </c>
      <c r="H92" s="1">
        <v>551.31233038026403</v>
      </c>
      <c r="J92" t="s">
        <v>67</v>
      </c>
      <c r="K92" t="s">
        <v>68</v>
      </c>
    </row>
    <row r="93" spans="1:11" hidden="1" x14ac:dyDescent="0.25">
      <c r="A93" t="s">
        <v>5</v>
      </c>
      <c r="B93" t="s">
        <v>6</v>
      </c>
      <c r="C93" t="s">
        <v>27</v>
      </c>
      <c r="D93" t="s">
        <v>28</v>
      </c>
      <c r="E93">
        <v>2020</v>
      </c>
      <c r="F93" t="s">
        <v>83</v>
      </c>
      <c r="G93" t="s">
        <v>85</v>
      </c>
      <c r="H93" s="1">
        <v>551.55803582112105</v>
      </c>
      <c r="I93">
        <f>_FIIPer1000[[#This Row],[No.Per1000Adults]]-H92</f>
        <v>0.24570544085702295</v>
      </c>
      <c r="J93" t="s">
        <v>67</v>
      </c>
      <c r="K93" t="s">
        <v>68</v>
      </c>
    </row>
    <row r="94" spans="1:11" hidden="1" x14ac:dyDescent="0.25">
      <c r="A94" t="s">
        <v>5</v>
      </c>
      <c r="B94" t="s">
        <v>6</v>
      </c>
      <c r="C94" t="s">
        <v>27</v>
      </c>
      <c r="D94" t="s">
        <v>28</v>
      </c>
      <c r="E94">
        <v>2021</v>
      </c>
      <c r="F94" t="s">
        <v>83</v>
      </c>
      <c r="G94" t="s">
        <v>85</v>
      </c>
      <c r="H94" s="1">
        <v>553.53503537736901</v>
      </c>
      <c r="I94">
        <f>_FIIPer1000[[#This Row],[No.Per1000Adults]]-H93</f>
        <v>1.9769995562479608</v>
      </c>
      <c r="J94" t="s">
        <v>67</v>
      </c>
      <c r="K94" t="s">
        <v>68</v>
      </c>
    </row>
    <row r="95" spans="1:11" hidden="1" x14ac:dyDescent="0.25">
      <c r="A95" t="s">
        <v>5</v>
      </c>
      <c r="B95" t="s">
        <v>6</v>
      </c>
      <c r="C95" t="s">
        <v>27</v>
      </c>
      <c r="D95" t="s">
        <v>28</v>
      </c>
      <c r="E95">
        <v>2022</v>
      </c>
      <c r="F95" t="s">
        <v>83</v>
      </c>
      <c r="G95" t="s">
        <v>85</v>
      </c>
      <c r="H95" s="1">
        <v>556.714320009723</v>
      </c>
      <c r="I95">
        <f>_FIIPer1000[[#This Row],[No.Per1000Adults]]-H94</f>
        <v>3.1792846323539834</v>
      </c>
      <c r="J95" t="s">
        <v>67</v>
      </c>
      <c r="K95" t="s">
        <v>68</v>
      </c>
    </row>
    <row r="96" spans="1:11" hidden="1" x14ac:dyDescent="0.25">
      <c r="A96" t="s">
        <v>5</v>
      </c>
      <c r="B96" t="s">
        <v>6</v>
      </c>
      <c r="C96" t="s">
        <v>27</v>
      </c>
      <c r="D96" t="s">
        <v>28</v>
      </c>
      <c r="E96">
        <v>2023</v>
      </c>
      <c r="F96" t="s">
        <v>83</v>
      </c>
      <c r="G96" t="s">
        <v>85</v>
      </c>
      <c r="H96" s="1">
        <v>581.14558992898401</v>
      </c>
      <c r="I96">
        <f>_FIIPer1000[[#This Row],[No.Per1000Adults]]-H95</f>
        <v>24.431269919261013</v>
      </c>
      <c r="J96" t="s">
        <v>67</v>
      </c>
      <c r="K96" t="s">
        <v>68</v>
      </c>
    </row>
    <row r="97" spans="1:11" hidden="1" x14ac:dyDescent="0.25">
      <c r="A97" t="s">
        <v>5</v>
      </c>
      <c r="B97" t="s">
        <v>6</v>
      </c>
      <c r="C97" t="s">
        <v>27</v>
      </c>
      <c r="D97" t="s">
        <v>28</v>
      </c>
      <c r="E97">
        <v>2024</v>
      </c>
      <c r="F97" t="s">
        <v>83</v>
      </c>
      <c r="G97" t="s">
        <v>85</v>
      </c>
      <c r="H97" s="1">
        <v>587.26931272582601</v>
      </c>
      <c r="I97">
        <f>_FIIPer1000[[#This Row],[No.Per1000Adults]]-H96</f>
        <v>6.1237227968420029</v>
      </c>
      <c r="J97" t="s">
        <v>67</v>
      </c>
      <c r="K97" t="s">
        <v>68</v>
      </c>
    </row>
    <row r="98" spans="1:11" hidden="1" x14ac:dyDescent="0.25">
      <c r="A98" t="s">
        <v>5</v>
      </c>
      <c r="B98" t="s">
        <v>6</v>
      </c>
      <c r="C98" t="s">
        <v>29</v>
      </c>
      <c r="D98" t="s">
        <v>30</v>
      </c>
      <c r="E98">
        <v>2019</v>
      </c>
      <c r="F98" t="s">
        <v>83</v>
      </c>
      <c r="G98" t="s">
        <v>85</v>
      </c>
      <c r="J98" t="s">
        <v>67</v>
      </c>
      <c r="K98" t="s">
        <v>68</v>
      </c>
    </row>
    <row r="99" spans="1:11" hidden="1" x14ac:dyDescent="0.25">
      <c r="A99" t="s">
        <v>5</v>
      </c>
      <c r="B99" t="s">
        <v>6</v>
      </c>
      <c r="C99" t="s">
        <v>29</v>
      </c>
      <c r="D99" t="s">
        <v>30</v>
      </c>
      <c r="E99">
        <v>2020</v>
      </c>
      <c r="F99" t="s">
        <v>83</v>
      </c>
      <c r="G99" t="s">
        <v>85</v>
      </c>
      <c r="J99" t="s">
        <v>67</v>
      </c>
      <c r="K99" t="s">
        <v>68</v>
      </c>
    </row>
    <row r="100" spans="1:11" hidden="1" x14ac:dyDescent="0.25">
      <c r="A100" t="s">
        <v>5</v>
      </c>
      <c r="B100" t="s">
        <v>6</v>
      </c>
      <c r="C100" t="s">
        <v>29</v>
      </c>
      <c r="D100" t="s">
        <v>30</v>
      </c>
      <c r="E100">
        <v>2021</v>
      </c>
      <c r="F100" t="s">
        <v>83</v>
      </c>
      <c r="G100" t="s">
        <v>85</v>
      </c>
      <c r="J100" t="s">
        <v>67</v>
      </c>
      <c r="K100" t="s">
        <v>68</v>
      </c>
    </row>
    <row r="101" spans="1:11" hidden="1" x14ac:dyDescent="0.25">
      <c r="A101" t="s">
        <v>5</v>
      </c>
      <c r="B101" t="s">
        <v>6</v>
      </c>
      <c r="C101" t="s">
        <v>29</v>
      </c>
      <c r="D101" t="s">
        <v>30</v>
      </c>
      <c r="E101">
        <v>2022</v>
      </c>
      <c r="F101" t="s">
        <v>83</v>
      </c>
      <c r="G101" t="s">
        <v>85</v>
      </c>
      <c r="J101" t="s">
        <v>67</v>
      </c>
      <c r="K101" t="s">
        <v>68</v>
      </c>
    </row>
    <row r="102" spans="1:11" hidden="1" x14ac:dyDescent="0.25">
      <c r="A102" t="s">
        <v>5</v>
      </c>
      <c r="B102" t="s">
        <v>6</v>
      </c>
      <c r="C102" t="s">
        <v>29</v>
      </c>
      <c r="D102" t="s">
        <v>30</v>
      </c>
      <c r="E102">
        <v>2023</v>
      </c>
      <c r="F102" t="s">
        <v>83</v>
      </c>
      <c r="G102" t="s">
        <v>85</v>
      </c>
      <c r="J102" t="s">
        <v>67</v>
      </c>
      <c r="K102" t="s">
        <v>68</v>
      </c>
    </row>
    <row r="103" spans="1:11" hidden="1" x14ac:dyDescent="0.25">
      <c r="A103" t="s">
        <v>5</v>
      </c>
      <c r="B103" t="s">
        <v>6</v>
      </c>
      <c r="C103" t="s">
        <v>29</v>
      </c>
      <c r="D103" t="s">
        <v>30</v>
      </c>
      <c r="E103">
        <v>2024</v>
      </c>
      <c r="F103" t="s">
        <v>83</v>
      </c>
      <c r="G103" t="s">
        <v>85</v>
      </c>
      <c r="J103" t="s">
        <v>67</v>
      </c>
      <c r="K103" t="s">
        <v>68</v>
      </c>
    </row>
    <row r="104" spans="1:11" hidden="1" x14ac:dyDescent="0.25">
      <c r="A104" t="s">
        <v>5</v>
      </c>
      <c r="B104" t="s">
        <v>6</v>
      </c>
      <c r="C104" t="s">
        <v>39</v>
      </c>
      <c r="D104" t="s">
        <v>40</v>
      </c>
      <c r="E104">
        <v>2019</v>
      </c>
      <c r="F104" t="s">
        <v>83</v>
      </c>
      <c r="G104" t="s">
        <v>85</v>
      </c>
      <c r="H104" s="1">
        <v>756.29794971486501</v>
      </c>
      <c r="J104" t="s">
        <v>67</v>
      </c>
      <c r="K104" t="s">
        <v>68</v>
      </c>
    </row>
    <row r="105" spans="1:11" hidden="1" x14ac:dyDescent="0.25">
      <c r="A105" t="s">
        <v>5</v>
      </c>
      <c r="B105" t="s">
        <v>6</v>
      </c>
      <c r="C105" t="s">
        <v>39</v>
      </c>
      <c r="D105" t="s">
        <v>40</v>
      </c>
      <c r="E105">
        <v>2020</v>
      </c>
      <c r="F105" t="s">
        <v>83</v>
      </c>
      <c r="G105" t="s">
        <v>85</v>
      </c>
      <c r="H105" s="1">
        <v>843.44402422482403</v>
      </c>
      <c r="I105">
        <f>_FIIPer1000[[#This Row],[No.Per1000Adults]]-H104</f>
        <v>87.146074509959021</v>
      </c>
      <c r="J105" t="s">
        <v>67</v>
      </c>
      <c r="K105" t="s">
        <v>68</v>
      </c>
    </row>
    <row r="106" spans="1:11" hidden="1" x14ac:dyDescent="0.25">
      <c r="A106" t="s">
        <v>5</v>
      </c>
      <c r="B106" t="s">
        <v>6</v>
      </c>
      <c r="C106" t="s">
        <v>39</v>
      </c>
      <c r="D106" t="s">
        <v>40</v>
      </c>
      <c r="E106">
        <v>2021</v>
      </c>
      <c r="F106" t="s">
        <v>83</v>
      </c>
      <c r="G106" t="s">
        <v>85</v>
      </c>
      <c r="H106" s="1">
        <v>869.893956982139</v>
      </c>
      <c r="I106">
        <f>_FIIPer1000[[#This Row],[No.Per1000Adults]]-H105</f>
        <v>26.449932757314969</v>
      </c>
      <c r="J106" t="s">
        <v>67</v>
      </c>
      <c r="K106" t="s">
        <v>68</v>
      </c>
    </row>
    <row r="107" spans="1:11" hidden="1" x14ac:dyDescent="0.25">
      <c r="A107" t="s">
        <v>5</v>
      </c>
      <c r="B107" t="s">
        <v>6</v>
      </c>
      <c r="C107" t="s">
        <v>39</v>
      </c>
      <c r="D107" t="s">
        <v>40</v>
      </c>
      <c r="E107">
        <v>2022</v>
      </c>
      <c r="F107" t="s">
        <v>83</v>
      </c>
      <c r="G107" t="s">
        <v>85</v>
      </c>
      <c r="H107" s="1">
        <v>927.803455822709</v>
      </c>
      <c r="I107">
        <f>_FIIPer1000[[#This Row],[No.Per1000Adults]]-H106</f>
        <v>57.909498840569995</v>
      </c>
      <c r="J107" t="s">
        <v>67</v>
      </c>
      <c r="K107" t="s">
        <v>68</v>
      </c>
    </row>
    <row r="108" spans="1:11" hidden="1" x14ac:dyDescent="0.25">
      <c r="A108" t="s">
        <v>5</v>
      </c>
      <c r="B108" t="s">
        <v>6</v>
      </c>
      <c r="C108" t="s">
        <v>39</v>
      </c>
      <c r="D108" t="s">
        <v>40</v>
      </c>
      <c r="E108">
        <v>2023</v>
      </c>
      <c r="F108" t="s">
        <v>83</v>
      </c>
      <c r="G108" t="s">
        <v>85</v>
      </c>
      <c r="H108" s="1">
        <v>970.41862075319</v>
      </c>
      <c r="I108">
        <f>_FIIPer1000[[#This Row],[No.Per1000Adults]]-H107</f>
        <v>42.615164930481001</v>
      </c>
      <c r="J108" t="s">
        <v>67</v>
      </c>
      <c r="K108" t="s">
        <v>68</v>
      </c>
    </row>
    <row r="109" spans="1:11" hidden="1" x14ac:dyDescent="0.25">
      <c r="A109" t="s">
        <v>5</v>
      </c>
      <c r="B109" t="s">
        <v>6</v>
      </c>
      <c r="C109" t="s">
        <v>39</v>
      </c>
      <c r="D109" t="s">
        <v>40</v>
      </c>
      <c r="E109">
        <v>2024</v>
      </c>
      <c r="F109" t="s">
        <v>83</v>
      </c>
      <c r="G109" t="s">
        <v>85</v>
      </c>
      <c r="H109" s="1">
        <v>976.676808209618</v>
      </c>
      <c r="I109">
        <f>_FIIPer1000[[#This Row],[No.Per1000Adults]]-H108</f>
        <v>6.2581874564280042</v>
      </c>
      <c r="J109" t="s">
        <v>67</v>
      </c>
      <c r="K109" t="s">
        <v>68</v>
      </c>
    </row>
    <row r="110" spans="1:11" hidden="1" x14ac:dyDescent="0.25">
      <c r="A110" t="s">
        <v>5</v>
      </c>
      <c r="B110" t="s">
        <v>6</v>
      </c>
      <c r="C110" t="s">
        <v>41</v>
      </c>
      <c r="D110" t="s">
        <v>42</v>
      </c>
      <c r="E110">
        <v>2019</v>
      </c>
      <c r="F110" t="s">
        <v>83</v>
      </c>
      <c r="G110" t="s">
        <v>85</v>
      </c>
      <c r="J110" t="s">
        <v>67</v>
      </c>
      <c r="K110" t="s">
        <v>68</v>
      </c>
    </row>
    <row r="111" spans="1:11" hidden="1" x14ac:dyDescent="0.25">
      <c r="A111" t="s">
        <v>5</v>
      </c>
      <c r="B111" t="s">
        <v>6</v>
      </c>
      <c r="C111" t="s">
        <v>41</v>
      </c>
      <c r="D111" t="s">
        <v>42</v>
      </c>
      <c r="E111">
        <v>2020</v>
      </c>
      <c r="F111" t="s">
        <v>83</v>
      </c>
      <c r="G111" t="s">
        <v>85</v>
      </c>
      <c r="J111" t="s">
        <v>67</v>
      </c>
      <c r="K111" t="s">
        <v>68</v>
      </c>
    </row>
    <row r="112" spans="1:11" hidden="1" x14ac:dyDescent="0.25">
      <c r="A112" t="s">
        <v>5</v>
      </c>
      <c r="B112" t="s">
        <v>6</v>
      </c>
      <c r="C112" t="s">
        <v>41</v>
      </c>
      <c r="D112" t="s">
        <v>42</v>
      </c>
      <c r="E112">
        <v>2021</v>
      </c>
      <c r="F112" t="s">
        <v>83</v>
      </c>
      <c r="G112" t="s">
        <v>85</v>
      </c>
      <c r="J112" t="s">
        <v>67</v>
      </c>
      <c r="K112" t="s">
        <v>68</v>
      </c>
    </row>
    <row r="113" spans="1:11" hidden="1" x14ac:dyDescent="0.25">
      <c r="A113" t="s">
        <v>5</v>
      </c>
      <c r="B113" t="s">
        <v>6</v>
      </c>
      <c r="C113" t="s">
        <v>41</v>
      </c>
      <c r="D113" t="s">
        <v>42</v>
      </c>
      <c r="E113">
        <v>2022</v>
      </c>
      <c r="F113" t="s">
        <v>83</v>
      </c>
      <c r="G113" t="s">
        <v>85</v>
      </c>
      <c r="J113" t="s">
        <v>67</v>
      </c>
      <c r="K113" t="s">
        <v>68</v>
      </c>
    </row>
    <row r="114" spans="1:11" hidden="1" x14ac:dyDescent="0.25">
      <c r="A114" t="s">
        <v>5</v>
      </c>
      <c r="B114" t="s">
        <v>6</v>
      </c>
      <c r="C114" t="s">
        <v>41</v>
      </c>
      <c r="D114" t="s">
        <v>42</v>
      </c>
      <c r="E114">
        <v>2023</v>
      </c>
      <c r="F114" t="s">
        <v>83</v>
      </c>
      <c r="G114" t="s">
        <v>85</v>
      </c>
      <c r="J114" t="s">
        <v>67</v>
      </c>
      <c r="K114" t="s">
        <v>68</v>
      </c>
    </row>
    <row r="115" spans="1:11" hidden="1" x14ac:dyDescent="0.25">
      <c r="A115" t="s">
        <v>5</v>
      </c>
      <c r="B115" t="s">
        <v>6</v>
      </c>
      <c r="C115" t="s">
        <v>41</v>
      </c>
      <c r="D115" t="s">
        <v>42</v>
      </c>
      <c r="E115">
        <v>2024</v>
      </c>
      <c r="F115" t="s">
        <v>83</v>
      </c>
      <c r="G115" t="s">
        <v>85</v>
      </c>
      <c r="J115" t="s">
        <v>67</v>
      </c>
      <c r="K115" t="s">
        <v>68</v>
      </c>
    </row>
    <row r="116" spans="1:11" hidden="1" x14ac:dyDescent="0.25">
      <c r="A116" t="s">
        <v>45</v>
      </c>
      <c r="B116" t="s">
        <v>46</v>
      </c>
      <c r="C116" t="s">
        <v>47</v>
      </c>
      <c r="D116" t="s">
        <v>48</v>
      </c>
      <c r="E116">
        <v>2019</v>
      </c>
      <c r="F116" t="s">
        <v>83</v>
      </c>
      <c r="G116" t="s">
        <v>85</v>
      </c>
      <c r="J116" t="s">
        <v>67</v>
      </c>
      <c r="K116" t="s">
        <v>68</v>
      </c>
    </row>
    <row r="117" spans="1:11" hidden="1" x14ac:dyDescent="0.25">
      <c r="A117" t="s">
        <v>45</v>
      </c>
      <c r="B117" t="s">
        <v>46</v>
      </c>
      <c r="C117" t="s">
        <v>47</v>
      </c>
      <c r="D117" t="s">
        <v>48</v>
      </c>
      <c r="E117">
        <v>2020</v>
      </c>
      <c r="F117" t="s">
        <v>83</v>
      </c>
      <c r="G117" t="s">
        <v>85</v>
      </c>
      <c r="J117" t="s">
        <v>67</v>
      </c>
      <c r="K117" t="s">
        <v>68</v>
      </c>
    </row>
    <row r="118" spans="1:11" hidden="1" x14ac:dyDescent="0.25">
      <c r="A118" t="s">
        <v>45</v>
      </c>
      <c r="B118" t="s">
        <v>46</v>
      </c>
      <c r="C118" t="s">
        <v>47</v>
      </c>
      <c r="D118" t="s">
        <v>48</v>
      </c>
      <c r="E118">
        <v>2021</v>
      </c>
      <c r="F118" t="s">
        <v>83</v>
      </c>
      <c r="G118" t="s">
        <v>85</v>
      </c>
      <c r="J118" t="s">
        <v>67</v>
      </c>
      <c r="K118" t="s">
        <v>68</v>
      </c>
    </row>
    <row r="119" spans="1:11" hidden="1" x14ac:dyDescent="0.25">
      <c r="A119" t="s">
        <v>45</v>
      </c>
      <c r="B119" t="s">
        <v>46</v>
      </c>
      <c r="C119" t="s">
        <v>47</v>
      </c>
      <c r="D119" t="s">
        <v>48</v>
      </c>
      <c r="E119">
        <v>2022</v>
      </c>
      <c r="F119" t="s">
        <v>83</v>
      </c>
      <c r="G119" t="s">
        <v>85</v>
      </c>
      <c r="J119" t="s">
        <v>67</v>
      </c>
      <c r="K119" t="s">
        <v>68</v>
      </c>
    </row>
    <row r="120" spans="1:11" hidden="1" x14ac:dyDescent="0.25">
      <c r="A120" t="s">
        <v>45</v>
      </c>
      <c r="B120" t="s">
        <v>46</v>
      </c>
      <c r="C120" t="s">
        <v>47</v>
      </c>
      <c r="D120" t="s">
        <v>48</v>
      </c>
      <c r="E120">
        <v>2023</v>
      </c>
      <c r="F120" t="s">
        <v>83</v>
      </c>
      <c r="G120" t="s">
        <v>85</v>
      </c>
      <c r="J120" t="s">
        <v>67</v>
      </c>
      <c r="K120" t="s">
        <v>68</v>
      </c>
    </row>
    <row r="121" spans="1:11" hidden="1" x14ac:dyDescent="0.25">
      <c r="A121" t="s">
        <v>45</v>
      </c>
      <c r="B121" t="s">
        <v>46</v>
      </c>
      <c r="C121" t="s">
        <v>47</v>
      </c>
      <c r="D121" t="s">
        <v>48</v>
      </c>
      <c r="E121">
        <v>2024</v>
      </c>
      <c r="F121" t="s">
        <v>83</v>
      </c>
      <c r="G121" t="s">
        <v>85</v>
      </c>
      <c r="J121" t="s">
        <v>67</v>
      </c>
      <c r="K121" t="s">
        <v>68</v>
      </c>
    </row>
    <row r="122" spans="1:11" hidden="1" x14ac:dyDescent="0.25">
      <c r="A122" t="s">
        <v>45</v>
      </c>
      <c r="B122" t="s">
        <v>46</v>
      </c>
      <c r="C122" t="s">
        <v>51</v>
      </c>
      <c r="D122" t="s">
        <v>52</v>
      </c>
      <c r="E122">
        <v>2019</v>
      </c>
      <c r="F122" t="s">
        <v>83</v>
      </c>
      <c r="G122" t="s">
        <v>85</v>
      </c>
      <c r="J122" t="s">
        <v>67</v>
      </c>
      <c r="K122" t="s">
        <v>68</v>
      </c>
    </row>
    <row r="123" spans="1:11" hidden="1" x14ac:dyDescent="0.25">
      <c r="A123" t="s">
        <v>45</v>
      </c>
      <c r="B123" t="s">
        <v>46</v>
      </c>
      <c r="C123" t="s">
        <v>51</v>
      </c>
      <c r="D123" t="s">
        <v>52</v>
      </c>
      <c r="E123">
        <v>2020</v>
      </c>
      <c r="F123" t="s">
        <v>83</v>
      </c>
      <c r="G123" t="s">
        <v>85</v>
      </c>
      <c r="J123" t="s">
        <v>67</v>
      </c>
      <c r="K123" t="s">
        <v>68</v>
      </c>
    </row>
    <row r="124" spans="1:11" hidden="1" x14ac:dyDescent="0.25">
      <c r="A124" t="s">
        <v>45</v>
      </c>
      <c r="B124" t="s">
        <v>46</v>
      </c>
      <c r="C124" t="s">
        <v>51</v>
      </c>
      <c r="D124" t="s">
        <v>52</v>
      </c>
      <c r="E124">
        <v>2021</v>
      </c>
      <c r="F124" t="s">
        <v>83</v>
      </c>
      <c r="G124" t="s">
        <v>85</v>
      </c>
      <c r="J124" t="s">
        <v>67</v>
      </c>
      <c r="K124" t="s">
        <v>68</v>
      </c>
    </row>
    <row r="125" spans="1:11" hidden="1" x14ac:dyDescent="0.25">
      <c r="A125" t="s">
        <v>45</v>
      </c>
      <c r="B125" t="s">
        <v>46</v>
      </c>
      <c r="C125" t="s">
        <v>51</v>
      </c>
      <c r="D125" t="s">
        <v>52</v>
      </c>
      <c r="E125">
        <v>2022</v>
      </c>
      <c r="F125" t="s">
        <v>83</v>
      </c>
      <c r="G125" t="s">
        <v>85</v>
      </c>
      <c r="J125" t="s">
        <v>67</v>
      </c>
      <c r="K125" t="s">
        <v>68</v>
      </c>
    </row>
    <row r="126" spans="1:11" hidden="1" x14ac:dyDescent="0.25">
      <c r="A126" t="s">
        <v>45</v>
      </c>
      <c r="B126" t="s">
        <v>46</v>
      </c>
      <c r="C126" t="s">
        <v>51</v>
      </c>
      <c r="D126" t="s">
        <v>52</v>
      </c>
      <c r="E126">
        <v>2023</v>
      </c>
      <c r="F126" t="s">
        <v>83</v>
      </c>
      <c r="G126" t="s">
        <v>85</v>
      </c>
      <c r="J126" t="s">
        <v>67</v>
      </c>
      <c r="K126" t="s">
        <v>68</v>
      </c>
    </row>
    <row r="127" spans="1:11" hidden="1" x14ac:dyDescent="0.25">
      <c r="A127" t="s">
        <v>45</v>
      </c>
      <c r="B127" t="s">
        <v>46</v>
      </c>
      <c r="C127" t="s">
        <v>51</v>
      </c>
      <c r="D127" t="s">
        <v>52</v>
      </c>
      <c r="E127">
        <v>2024</v>
      </c>
      <c r="F127" t="s">
        <v>83</v>
      </c>
      <c r="G127" t="s">
        <v>85</v>
      </c>
      <c r="J127" t="s">
        <v>67</v>
      </c>
      <c r="K127" t="s">
        <v>68</v>
      </c>
    </row>
    <row r="128" spans="1:11" hidden="1" x14ac:dyDescent="0.25">
      <c r="A128" t="s">
        <v>45</v>
      </c>
      <c r="B128" t="s">
        <v>46</v>
      </c>
      <c r="C128" t="s">
        <v>7</v>
      </c>
      <c r="D128" t="s">
        <v>8</v>
      </c>
      <c r="E128">
        <v>2019</v>
      </c>
      <c r="F128" t="s">
        <v>83</v>
      </c>
      <c r="G128" t="s">
        <v>85</v>
      </c>
      <c r="H128" s="3">
        <v>161.35582265152499</v>
      </c>
      <c r="J128" t="s">
        <v>67</v>
      </c>
      <c r="K128" t="s">
        <v>68</v>
      </c>
    </row>
    <row r="129" spans="1:11" hidden="1" x14ac:dyDescent="0.25">
      <c r="A129" t="s">
        <v>45</v>
      </c>
      <c r="B129" t="s">
        <v>46</v>
      </c>
      <c r="C129" t="s">
        <v>7</v>
      </c>
      <c r="D129" t="s">
        <v>8</v>
      </c>
      <c r="E129">
        <v>2020</v>
      </c>
      <c r="F129" t="s">
        <v>83</v>
      </c>
      <c r="G129" t="s">
        <v>85</v>
      </c>
      <c r="H129" s="3">
        <v>145.19474697015801</v>
      </c>
      <c r="I129">
        <f>_FIIPer1000[[#This Row],[No.Per1000Adults]]-H128</f>
        <v>-16.161075681366981</v>
      </c>
      <c r="J129" t="s">
        <v>67</v>
      </c>
      <c r="K129" t="s">
        <v>68</v>
      </c>
    </row>
    <row r="130" spans="1:11" hidden="1" x14ac:dyDescent="0.25">
      <c r="A130" t="s">
        <v>45</v>
      </c>
      <c r="B130" t="s">
        <v>46</v>
      </c>
      <c r="C130" t="s">
        <v>7</v>
      </c>
      <c r="D130" t="s">
        <v>8</v>
      </c>
      <c r="E130">
        <v>2021</v>
      </c>
      <c r="F130" t="s">
        <v>83</v>
      </c>
      <c r="G130" t="s">
        <v>85</v>
      </c>
      <c r="H130" s="3">
        <v>171.778925278663</v>
      </c>
      <c r="I130">
        <f>_FIIPer1000[[#This Row],[No.Per1000Adults]]-H129</f>
        <v>26.584178308504988</v>
      </c>
      <c r="J130" t="s">
        <v>67</v>
      </c>
      <c r="K130" t="s">
        <v>68</v>
      </c>
    </row>
    <row r="131" spans="1:11" hidden="1" x14ac:dyDescent="0.25">
      <c r="A131" t="s">
        <v>45</v>
      </c>
      <c r="B131" t="s">
        <v>46</v>
      </c>
      <c r="C131" t="s">
        <v>7</v>
      </c>
      <c r="D131" t="s">
        <v>8</v>
      </c>
      <c r="E131">
        <v>2022</v>
      </c>
      <c r="F131" t="s">
        <v>83</v>
      </c>
      <c r="G131" t="s">
        <v>85</v>
      </c>
      <c r="H131" s="3">
        <v>176.76725099349201</v>
      </c>
      <c r="I131">
        <f>_FIIPer1000[[#This Row],[No.Per1000Adults]]-H130</f>
        <v>4.988325714829017</v>
      </c>
      <c r="J131" t="s">
        <v>67</v>
      </c>
      <c r="K131" t="s">
        <v>68</v>
      </c>
    </row>
    <row r="132" spans="1:11" hidden="1" x14ac:dyDescent="0.25">
      <c r="A132" t="s">
        <v>45</v>
      </c>
      <c r="B132" t="s">
        <v>46</v>
      </c>
      <c r="C132" t="s">
        <v>7</v>
      </c>
      <c r="D132" t="s">
        <v>8</v>
      </c>
      <c r="E132">
        <v>2023</v>
      </c>
      <c r="F132" t="s">
        <v>83</v>
      </c>
      <c r="G132" t="s">
        <v>85</v>
      </c>
      <c r="H132" s="3">
        <v>219.45483791322599</v>
      </c>
      <c r="I132">
        <f>_FIIPer1000[[#This Row],[No.Per1000Adults]]-H131</f>
        <v>42.687586919733974</v>
      </c>
      <c r="J132" t="s">
        <v>67</v>
      </c>
      <c r="K132" t="s">
        <v>68</v>
      </c>
    </row>
    <row r="133" spans="1:11" hidden="1" x14ac:dyDescent="0.25">
      <c r="A133" t="s">
        <v>45</v>
      </c>
      <c r="B133" t="s">
        <v>46</v>
      </c>
      <c r="C133" t="s">
        <v>7</v>
      </c>
      <c r="D133" t="s">
        <v>8</v>
      </c>
      <c r="E133">
        <v>2024</v>
      </c>
      <c r="F133" t="s">
        <v>83</v>
      </c>
      <c r="G133" t="s">
        <v>85</v>
      </c>
      <c r="H133" s="3">
        <v>234.68479064640701</v>
      </c>
      <c r="I133">
        <f>_FIIPer1000[[#This Row],[No.Per1000Adults]]-H132</f>
        <v>15.229952733181022</v>
      </c>
      <c r="J133" t="s">
        <v>67</v>
      </c>
      <c r="K133" t="s">
        <v>68</v>
      </c>
    </row>
    <row r="134" spans="1:11" hidden="1" x14ac:dyDescent="0.25">
      <c r="A134" t="s">
        <v>45</v>
      </c>
      <c r="B134" t="s">
        <v>46</v>
      </c>
      <c r="C134" t="s">
        <v>49</v>
      </c>
      <c r="D134" t="s">
        <v>50</v>
      </c>
      <c r="E134">
        <v>2019</v>
      </c>
      <c r="F134" t="s">
        <v>83</v>
      </c>
      <c r="G134" t="s">
        <v>85</v>
      </c>
      <c r="H134" s="1">
        <v>209.290457504454</v>
      </c>
      <c r="J134" t="s">
        <v>67</v>
      </c>
      <c r="K134" t="s">
        <v>68</v>
      </c>
    </row>
    <row r="135" spans="1:11" hidden="1" x14ac:dyDescent="0.25">
      <c r="A135" t="s">
        <v>45</v>
      </c>
      <c r="B135" t="s">
        <v>46</v>
      </c>
      <c r="C135" t="s">
        <v>49</v>
      </c>
      <c r="D135" t="s">
        <v>50</v>
      </c>
      <c r="E135">
        <v>2020</v>
      </c>
      <c r="F135" t="s">
        <v>83</v>
      </c>
      <c r="G135" t="s">
        <v>85</v>
      </c>
      <c r="H135" s="1">
        <v>206.479050659184</v>
      </c>
      <c r="I135">
        <f>_FIIPer1000[[#This Row],[No.Per1000Adults]]-H134</f>
        <v>-2.8114068452699996</v>
      </c>
      <c r="J135" t="s">
        <v>67</v>
      </c>
      <c r="K135" t="s">
        <v>68</v>
      </c>
    </row>
    <row r="136" spans="1:11" hidden="1" x14ac:dyDescent="0.25">
      <c r="A136" t="s">
        <v>45</v>
      </c>
      <c r="B136" t="s">
        <v>46</v>
      </c>
      <c r="C136" t="s">
        <v>49</v>
      </c>
      <c r="D136" t="s">
        <v>50</v>
      </c>
      <c r="E136">
        <v>2021</v>
      </c>
      <c r="F136" t="s">
        <v>83</v>
      </c>
      <c r="G136" t="s">
        <v>85</v>
      </c>
      <c r="H136" s="1">
        <v>208.463994820984</v>
      </c>
      <c r="I136">
        <f>_FIIPer1000[[#This Row],[No.Per1000Adults]]-H135</f>
        <v>1.9849441618000014</v>
      </c>
      <c r="J136" t="s">
        <v>67</v>
      </c>
      <c r="K136" t="s">
        <v>68</v>
      </c>
    </row>
    <row r="137" spans="1:11" hidden="1" x14ac:dyDescent="0.25">
      <c r="A137" t="s">
        <v>45</v>
      </c>
      <c r="B137" t="s">
        <v>46</v>
      </c>
      <c r="C137" t="s">
        <v>49</v>
      </c>
      <c r="D137" t="s">
        <v>50</v>
      </c>
      <c r="E137">
        <v>2022</v>
      </c>
      <c r="F137" t="s">
        <v>83</v>
      </c>
      <c r="G137" t="s">
        <v>85</v>
      </c>
      <c r="H137" s="1">
        <v>204.53693419805501</v>
      </c>
      <c r="I137">
        <f>_FIIPer1000[[#This Row],[No.Per1000Adults]]-H136</f>
        <v>-3.9270606229289911</v>
      </c>
      <c r="J137" t="s">
        <v>67</v>
      </c>
      <c r="K137" t="s">
        <v>68</v>
      </c>
    </row>
    <row r="138" spans="1:11" hidden="1" x14ac:dyDescent="0.25">
      <c r="A138" t="s">
        <v>45</v>
      </c>
      <c r="B138" t="s">
        <v>46</v>
      </c>
      <c r="C138" t="s">
        <v>49</v>
      </c>
      <c r="D138" t="s">
        <v>50</v>
      </c>
      <c r="E138">
        <v>2023</v>
      </c>
      <c r="F138" t="s">
        <v>83</v>
      </c>
      <c r="G138" t="s">
        <v>85</v>
      </c>
      <c r="H138" s="1">
        <v>200.502158435821</v>
      </c>
      <c r="I138">
        <f>_FIIPer1000[[#This Row],[No.Per1000Adults]]-H137</f>
        <v>-4.0347757622340055</v>
      </c>
      <c r="J138" t="s">
        <v>67</v>
      </c>
      <c r="K138" t="s">
        <v>68</v>
      </c>
    </row>
    <row r="139" spans="1:11" hidden="1" x14ac:dyDescent="0.25">
      <c r="A139" t="s">
        <v>45</v>
      </c>
      <c r="B139" t="s">
        <v>46</v>
      </c>
      <c r="C139" t="s">
        <v>49</v>
      </c>
      <c r="D139" t="s">
        <v>50</v>
      </c>
      <c r="E139">
        <v>2024</v>
      </c>
      <c r="F139" t="s">
        <v>83</v>
      </c>
      <c r="G139" t="s">
        <v>85</v>
      </c>
      <c r="H139" s="1">
        <v>198.93339771068599</v>
      </c>
      <c r="I139">
        <f>_FIIPer1000[[#This Row],[No.Per1000Adults]]-H138</f>
        <v>-1.5687607251350073</v>
      </c>
      <c r="J139" t="s">
        <v>67</v>
      </c>
      <c r="K139" t="s">
        <v>68</v>
      </c>
    </row>
    <row r="140" spans="1:11" hidden="1" x14ac:dyDescent="0.25">
      <c r="A140" t="s">
        <v>45</v>
      </c>
      <c r="B140" t="s">
        <v>46</v>
      </c>
      <c r="C140" t="s">
        <v>53</v>
      </c>
      <c r="D140" t="s">
        <v>54</v>
      </c>
      <c r="E140">
        <v>2019</v>
      </c>
      <c r="F140" t="s">
        <v>83</v>
      </c>
      <c r="G140" t="s">
        <v>85</v>
      </c>
      <c r="H140" s="1">
        <v>247.12685228266099</v>
      </c>
      <c r="J140" t="s">
        <v>67</v>
      </c>
      <c r="K140" t="s">
        <v>68</v>
      </c>
    </row>
    <row r="141" spans="1:11" hidden="1" x14ac:dyDescent="0.25">
      <c r="A141" t="s">
        <v>45</v>
      </c>
      <c r="B141" t="s">
        <v>46</v>
      </c>
      <c r="C141" t="s">
        <v>53</v>
      </c>
      <c r="D141" t="s">
        <v>54</v>
      </c>
      <c r="E141">
        <v>2020</v>
      </c>
      <c r="F141" t="s">
        <v>83</v>
      </c>
      <c r="G141" t="s">
        <v>85</v>
      </c>
      <c r="H141" s="1">
        <v>231.84950484997401</v>
      </c>
      <c r="I141">
        <f>_FIIPer1000[[#This Row],[No.Per1000Adults]]-H140</f>
        <v>-15.27734743268698</v>
      </c>
      <c r="J141" t="s">
        <v>67</v>
      </c>
      <c r="K141" t="s">
        <v>68</v>
      </c>
    </row>
    <row r="142" spans="1:11" hidden="1" x14ac:dyDescent="0.25">
      <c r="A142" t="s">
        <v>45</v>
      </c>
      <c r="B142" t="s">
        <v>46</v>
      </c>
      <c r="C142" t="s">
        <v>53</v>
      </c>
      <c r="D142" t="s">
        <v>54</v>
      </c>
      <c r="E142">
        <v>2021</v>
      </c>
      <c r="F142" t="s">
        <v>83</v>
      </c>
      <c r="G142" t="s">
        <v>85</v>
      </c>
      <c r="H142" s="1">
        <v>280.88513135684701</v>
      </c>
      <c r="I142">
        <f>_FIIPer1000[[#This Row],[No.Per1000Adults]]-H141</f>
        <v>49.035626506873001</v>
      </c>
      <c r="J142" t="s">
        <v>67</v>
      </c>
      <c r="K142" t="s">
        <v>68</v>
      </c>
    </row>
    <row r="143" spans="1:11" hidden="1" x14ac:dyDescent="0.25">
      <c r="A143" t="s">
        <v>45</v>
      </c>
      <c r="B143" t="s">
        <v>46</v>
      </c>
      <c r="C143" t="s">
        <v>53</v>
      </c>
      <c r="D143" t="s">
        <v>54</v>
      </c>
      <c r="E143">
        <v>2022</v>
      </c>
      <c r="F143" t="s">
        <v>83</v>
      </c>
      <c r="G143" t="s">
        <v>85</v>
      </c>
      <c r="H143" s="2"/>
      <c r="J143" t="s">
        <v>67</v>
      </c>
      <c r="K143" t="s">
        <v>68</v>
      </c>
    </row>
    <row r="144" spans="1:11" hidden="1" x14ac:dyDescent="0.25">
      <c r="A144" t="s">
        <v>45</v>
      </c>
      <c r="B144" t="s">
        <v>46</v>
      </c>
      <c r="C144" t="s">
        <v>53</v>
      </c>
      <c r="D144" t="s">
        <v>54</v>
      </c>
      <c r="E144">
        <v>2023</v>
      </c>
      <c r="F144" t="s">
        <v>83</v>
      </c>
      <c r="G144" t="s">
        <v>85</v>
      </c>
      <c r="H144" s="2"/>
      <c r="J144" t="s">
        <v>67</v>
      </c>
      <c r="K144" t="s">
        <v>68</v>
      </c>
    </row>
    <row r="145" spans="1:11" hidden="1" x14ac:dyDescent="0.25">
      <c r="A145" t="s">
        <v>45</v>
      </c>
      <c r="B145" t="s">
        <v>46</v>
      </c>
      <c r="C145" t="s">
        <v>53</v>
      </c>
      <c r="D145" t="s">
        <v>54</v>
      </c>
      <c r="E145">
        <v>2024</v>
      </c>
      <c r="F145" t="s">
        <v>83</v>
      </c>
      <c r="G145" t="s">
        <v>85</v>
      </c>
      <c r="H145" s="2"/>
      <c r="J145" t="s">
        <v>67</v>
      </c>
      <c r="K145" t="s">
        <v>68</v>
      </c>
    </row>
    <row r="146" spans="1:11" hidden="1" x14ac:dyDescent="0.25">
      <c r="A146" t="s">
        <v>45</v>
      </c>
      <c r="B146" t="s">
        <v>46</v>
      </c>
      <c r="C146" t="s">
        <v>55</v>
      </c>
      <c r="D146" t="s">
        <v>56</v>
      </c>
      <c r="E146">
        <v>2019</v>
      </c>
      <c r="F146" t="s">
        <v>83</v>
      </c>
      <c r="G146" t="s">
        <v>85</v>
      </c>
      <c r="H146" s="1">
        <v>532.81608097105004</v>
      </c>
      <c r="J146" t="s">
        <v>67</v>
      </c>
      <c r="K146" t="s">
        <v>68</v>
      </c>
    </row>
    <row r="147" spans="1:11" hidden="1" x14ac:dyDescent="0.25">
      <c r="A147" t="s">
        <v>45</v>
      </c>
      <c r="B147" t="s">
        <v>46</v>
      </c>
      <c r="C147" t="s">
        <v>55</v>
      </c>
      <c r="D147" t="s">
        <v>56</v>
      </c>
      <c r="E147">
        <v>2020</v>
      </c>
      <c r="F147" t="s">
        <v>83</v>
      </c>
      <c r="G147" t="s">
        <v>85</v>
      </c>
      <c r="H147" s="1">
        <v>514.19676256272305</v>
      </c>
      <c r="I147">
        <f>_FIIPer1000[[#This Row],[No.Per1000Adults]]-H146</f>
        <v>-18.61931840832699</v>
      </c>
      <c r="J147" t="s">
        <v>67</v>
      </c>
      <c r="K147" t="s">
        <v>68</v>
      </c>
    </row>
    <row r="148" spans="1:11" hidden="1" x14ac:dyDescent="0.25">
      <c r="A148" t="s">
        <v>45</v>
      </c>
      <c r="B148" t="s">
        <v>46</v>
      </c>
      <c r="C148" t="s">
        <v>55</v>
      </c>
      <c r="D148" t="s">
        <v>56</v>
      </c>
      <c r="E148">
        <v>2021</v>
      </c>
      <c r="F148" t="s">
        <v>83</v>
      </c>
      <c r="G148" t="s">
        <v>85</v>
      </c>
      <c r="H148" s="1">
        <v>589.10986507015105</v>
      </c>
      <c r="I148">
        <f>_FIIPer1000[[#This Row],[No.Per1000Adults]]-H147</f>
        <v>74.913102507427993</v>
      </c>
      <c r="J148" t="s">
        <v>67</v>
      </c>
      <c r="K148" t="s">
        <v>68</v>
      </c>
    </row>
    <row r="149" spans="1:11" hidden="1" x14ac:dyDescent="0.25">
      <c r="A149" t="s">
        <v>45</v>
      </c>
      <c r="B149" t="s">
        <v>46</v>
      </c>
      <c r="C149" t="s">
        <v>55</v>
      </c>
      <c r="D149" t="s">
        <v>56</v>
      </c>
      <c r="E149">
        <v>2022</v>
      </c>
      <c r="F149" t="s">
        <v>83</v>
      </c>
      <c r="G149" t="s">
        <v>85</v>
      </c>
      <c r="H149" s="1">
        <v>606.48326153413495</v>
      </c>
      <c r="I149">
        <f>_FIIPer1000[[#This Row],[No.Per1000Adults]]-H148</f>
        <v>17.373396463983909</v>
      </c>
      <c r="J149" t="s">
        <v>67</v>
      </c>
      <c r="K149" t="s">
        <v>68</v>
      </c>
    </row>
    <row r="150" spans="1:11" hidden="1" x14ac:dyDescent="0.25">
      <c r="A150" t="s">
        <v>45</v>
      </c>
      <c r="B150" t="s">
        <v>46</v>
      </c>
      <c r="C150" t="s">
        <v>55</v>
      </c>
      <c r="D150" t="s">
        <v>56</v>
      </c>
      <c r="E150">
        <v>2023</v>
      </c>
      <c r="F150" t="s">
        <v>83</v>
      </c>
      <c r="G150" t="s">
        <v>85</v>
      </c>
      <c r="H150" s="1">
        <v>641.86852841906796</v>
      </c>
      <c r="I150">
        <f>_FIIPer1000[[#This Row],[No.Per1000Adults]]-H149</f>
        <v>35.385266884933003</v>
      </c>
      <c r="J150" t="s">
        <v>67</v>
      </c>
      <c r="K150" t="s">
        <v>68</v>
      </c>
    </row>
    <row r="151" spans="1:11" hidden="1" x14ac:dyDescent="0.25">
      <c r="A151" s="4" t="s">
        <v>45</v>
      </c>
      <c r="B151" s="4" t="s">
        <v>46</v>
      </c>
      <c r="C151" s="4" t="s">
        <v>55</v>
      </c>
      <c r="D151" s="4" t="s">
        <v>56</v>
      </c>
      <c r="E151" s="4">
        <v>2024</v>
      </c>
      <c r="F151" s="4" t="s">
        <v>83</v>
      </c>
      <c r="G151" s="4" t="s">
        <v>85</v>
      </c>
      <c r="H151" s="5"/>
      <c r="I151" s="4"/>
      <c r="J151" s="4" t="s">
        <v>67</v>
      </c>
      <c r="K151" s="4" t="s">
        <v>68</v>
      </c>
    </row>
    <row r="152" spans="1:11" hidden="1" x14ac:dyDescent="0.25">
      <c r="A152" t="s">
        <v>5</v>
      </c>
      <c r="B152" t="s">
        <v>6</v>
      </c>
      <c r="C152" t="s">
        <v>9</v>
      </c>
      <c r="D152" t="s">
        <v>10</v>
      </c>
      <c r="E152">
        <v>2019</v>
      </c>
      <c r="F152" t="s">
        <v>86</v>
      </c>
      <c r="G152" t="s">
        <v>87</v>
      </c>
      <c r="H152" s="1">
        <v>1215.6051602878799</v>
      </c>
      <c r="J152" t="s">
        <v>67</v>
      </c>
      <c r="K152" t="s">
        <v>68</v>
      </c>
    </row>
    <row r="153" spans="1:11" hidden="1" x14ac:dyDescent="0.25">
      <c r="A153" t="s">
        <v>5</v>
      </c>
      <c r="B153" t="s">
        <v>6</v>
      </c>
      <c r="C153" t="s">
        <v>9</v>
      </c>
      <c r="D153" t="s">
        <v>10</v>
      </c>
      <c r="E153">
        <v>2020</v>
      </c>
      <c r="F153" t="s">
        <v>86</v>
      </c>
      <c r="G153" t="s">
        <v>87</v>
      </c>
      <c r="H153" s="1">
        <v>1210.31608485384</v>
      </c>
      <c r="I153">
        <f>_FIIPer1000[[#This Row],[No.Per1000Adults]]-H152</f>
        <v>-5.2890754340398871</v>
      </c>
      <c r="J153" t="s">
        <v>67</v>
      </c>
      <c r="K153" t="s">
        <v>68</v>
      </c>
    </row>
    <row r="154" spans="1:11" hidden="1" x14ac:dyDescent="0.25">
      <c r="A154" t="s">
        <v>5</v>
      </c>
      <c r="B154" t="s">
        <v>6</v>
      </c>
      <c r="C154" t="s">
        <v>9</v>
      </c>
      <c r="D154" t="s">
        <v>10</v>
      </c>
      <c r="E154">
        <v>2021</v>
      </c>
      <c r="F154" t="s">
        <v>86</v>
      </c>
      <c r="G154" t="s">
        <v>87</v>
      </c>
      <c r="H154" s="1">
        <v>1079.47927271924</v>
      </c>
      <c r="I154">
        <f>_FIIPer1000[[#This Row],[No.Per1000Adults]]-H153</f>
        <v>-130.8368121346</v>
      </c>
      <c r="J154" t="s">
        <v>67</v>
      </c>
      <c r="K154" t="s">
        <v>68</v>
      </c>
    </row>
    <row r="155" spans="1:11" hidden="1" x14ac:dyDescent="0.25">
      <c r="A155" t="s">
        <v>5</v>
      </c>
      <c r="B155" t="s">
        <v>6</v>
      </c>
      <c r="C155" t="s">
        <v>9</v>
      </c>
      <c r="D155" t="s">
        <v>10</v>
      </c>
      <c r="E155">
        <v>2022</v>
      </c>
      <c r="F155" t="s">
        <v>86</v>
      </c>
      <c r="G155" t="s">
        <v>87</v>
      </c>
      <c r="H155" s="1">
        <v>1130.50617282965</v>
      </c>
      <c r="I155">
        <f>_FIIPer1000[[#This Row],[No.Per1000Adults]]-H154</f>
        <v>51.026900110409997</v>
      </c>
      <c r="J155" t="s">
        <v>67</v>
      </c>
      <c r="K155" t="s">
        <v>68</v>
      </c>
    </row>
    <row r="156" spans="1:11" hidden="1" x14ac:dyDescent="0.25">
      <c r="A156" t="s">
        <v>5</v>
      </c>
      <c r="B156" t="s">
        <v>6</v>
      </c>
      <c r="C156" t="s">
        <v>9</v>
      </c>
      <c r="D156" t="s">
        <v>10</v>
      </c>
      <c r="E156">
        <v>2023</v>
      </c>
      <c r="F156" t="s">
        <v>86</v>
      </c>
      <c r="G156" t="s">
        <v>87</v>
      </c>
      <c r="H156" s="1">
        <v>1108.3665705870901</v>
      </c>
      <c r="I156">
        <f>_FIIPer1000[[#This Row],[No.Per1000Adults]]-H155</f>
        <v>-22.139602242559931</v>
      </c>
      <c r="J156" t="s">
        <v>67</v>
      </c>
      <c r="K156" t="s">
        <v>68</v>
      </c>
    </row>
    <row r="157" spans="1:11" hidden="1" x14ac:dyDescent="0.25">
      <c r="A157" t="s">
        <v>5</v>
      </c>
      <c r="B157" t="s">
        <v>6</v>
      </c>
      <c r="C157" t="s">
        <v>9</v>
      </c>
      <c r="D157" t="s">
        <v>10</v>
      </c>
      <c r="E157">
        <v>2024</v>
      </c>
      <c r="F157" t="s">
        <v>86</v>
      </c>
      <c r="G157" t="s">
        <v>87</v>
      </c>
      <c r="H157" s="1">
        <v>1132.13445136259</v>
      </c>
      <c r="I157">
        <f>_FIIPer1000[[#This Row],[No.Per1000Adults]]-H156</f>
        <v>23.767880775499862</v>
      </c>
      <c r="J157" t="s">
        <v>67</v>
      </c>
      <c r="K157" t="s">
        <v>68</v>
      </c>
    </row>
    <row r="158" spans="1:11" hidden="1" x14ac:dyDescent="0.25">
      <c r="A158" t="s">
        <v>5</v>
      </c>
      <c r="B158" t="s">
        <v>6</v>
      </c>
      <c r="C158" t="s">
        <v>11</v>
      </c>
      <c r="D158" t="s">
        <v>12</v>
      </c>
      <c r="E158">
        <v>2019</v>
      </c>
      <c r="F158" t="s">
        <v>86</v>
      </c>
      <c r="G158" t="s">
        <v>87</v>
      </c>
      <c r="H158" s="1">
        <v>977.13078998393303</v>
      </c>
      <c r="J158" t="s">
        <v>67</v>
      </c>
      <c r="K158" t="s">
        <v>68</v>
      </c>
    </row>
    <row r="159" spans="1:11" hidden="1" x14ac:dyDescent="0.25">
      <c r="A159" t="s">
        <v>5</v>
      </c>
      <c r="B159" t="s">
        <v>6</v>
      </c>
      <c r="C159" t="s">
        <v>11</v>
      </c>
      <c r="D159" t="s">
        <v>12</v>
      </c>
      <c r="E159">
        <v>2020</v>
      </c>
      <c r="F159" t="s">
        <v>86</v>
      </c>
      <c r="G159" t="s">
        <v>87</v>
      </c>
      <c r="H159" s="1">
        <v>877.47126190265703</v>
      </c>
      <c r="I159">
        <f>_FIIPer1000[[#This Row],[No.Per1000Adults]]-H158</f>
        <v>-99.659528081275994</v>
      </c>
      <c r="J159" t="s">
        <v>67</v>
      </c>
      <c r="K159" t="s">
        <v>68</v>
      </c>
    </row>
    <row r="160" spans="1:11" hidden="1" x14ac:dyDescent="0.25">
      <c r="A160" t="s">
        <v>5</v>
      </c>
      <c r="B160" t="s">
        <v>6</v>
      </c>
      <c r="C160" t="s">
        <v>11</v>
      </c>
      <c r="D160" t="s">
        <v>12</v>
      </c>
      <c r="E160">
        <v>2021</v>
      </c>
      <c r="F160" t="s">
        <v>86</v>
      </c>
      <c r="G160" t="s">
        <v>87</v>
      </c>
      <c r="H160" s="1">
        <v>839.76076103803496</v>
      </c>
      <c r="I160">
        <f>_FIIPer1000[[#This Row],[No.Per1000Adults]]-H159</f>
        <v>-37.710500864622077</v>
      </c>
      <c r="J160" t="s">
        <v>67</v>
      </c>
      <c r="K160" t="s">
        <v>68</v>
      </c>
    </row>
    <row r="161" spans="1:11" hidden="1" x14ac:dyDescent="0.25">
      <c r="A161" t="s">
        <v>5</v>
      </c>
      <c r="B161" t="s">
        <v>6</v>
      </c>
      <c r="C161" t="s">
        <v>11</v>
      </c>
      <c r="D161" t="s">
        <v>12</v>
      </c>
      <c r="E161">
        <v>2022</v>
      </c>
      <c r="F161" t="s">
        <v>86</v>
      </c>
      <c r="G161" t="s">
        <v>87</v>
      </c>
      <c r="H161" s="1">
        <v>824.71604377361098</v>
      </c>
      <c r="I161">
        <f>_FIIPer1000[[#This Row],[No.Per1000Adults]]-H160</f>
        <v>-15.04471726442398</v>
      </c>
      <c r="J161" t="s">
        <v>67</v>
      </c>
      <c r="K161" t="s">
        <v>68</v>
      </c>
    </row>
    <row r="162" spans="1:11" hidden="1" x14ac:dyDescent="0.25">
      <c r="A162" t="s">
        <v>5</v>
      </c>
      <c r="B162" t="s">
        <v>6</v>
      </c>
      <c r="C162" t="s">
        <v>11</v>
      </c>
      <c r="D162" t="s">
        <v>12</v>
      </c>
      <c r="E162">
        <v>2023</v>
      </c>
      <c r="F162" t="s">
        <v>86</v>
      </c>
      <c r="G162" t="s">
        <v>87</v>
      </c>
      <c r="H162" s="1">
        <v>807.92779635070895</v>
      </c>
      <c r="I162">
        <f>_FIIPer1000[[#This Row],[No.Per1000Adults]]-H161</f>
        <v>-16.788247422902032</v>
      </c>
      <c r="J162" t="s">
        <v>67</v>
      </c>
      <c r="K162" t="s">
        <v>68</v>
      </c>
    </row>
    <row r="163" spans="1:11" hidden="1" x14ac:dyDescent="0.25">
      <c r="A163" t="s">
        <v>5</v>
      </c>
      <c r="B163" t="s">
        <v>6</v>
      </c>
      <c r="C163" t="s">
        <v>11</v>
      </c>
      <c r="D163" t="s">
        <v>12</v>
      </c>
      <c r="E163">
        <v>2024</v>
      </c>
      <c r="F163" t="s">
        <v>86</v>
      </c>
      <c r="G163" t="s">
        <v>87</v>
      </c>
      <c r="H163" s="1">
        <v>745.93055656470904</v>
      </c>
      <c r="I163">
        <f>_FIIPer1000[[#This Row],[No.Per1000Adults]]-H162</f>
        <v>-61.997239785999909</v>
      </c>
      <c r="J163" t="s">
        <v>67</v>
      </c>
      <c r="K163" t="s">
        <v>68</v>
      </c>
    </row>
    <row r="164" spans="1:11" hidden="1" x14ac:dyDescent="0.25">
      <c r="A164" t="s">
        <v>5</v>
      </c>
      <c r="B164" t="s">
        <v>6</v>
      </c>
      <c r="C164" t="s">
        <v>13</v>
      </c>
      <c r="D164" t="s">
        <v>14</v>
      </c>
      <c r="E164">
        <v>2019</v>
      </c>
      <c r="F164" t="s">
        <v>86</v>
      </c>
      <c r="G164" t="s">
        <v>87</v>
      </c>
      <c r="H164" s="1">
        <v>750.10649358820604</v>
      </c>
      <c r="J164" t="s">
        <v>67</v>
      </c>
      <c r="K164" t="s">
        <v>68</v>
      </c>
    </row>
    <row r="165" spans="1:11" hidden="1" x14ac:dyDescent="0.25">
      <c r="A165" t="s">
        <v>5</v>
      </c>
      <c r="B165" t="s">
        <v>6</v>
      </c>
      <c r="C165" t="s">
        <v>13</v>
      </c>
      <c r="D165" t="s">
        <v>14</v>
      </c>
      <c r="E165">
        <v>2020</v>
      </c>
      <c r="F165" t="s">
        <v>86</v>
      </c>
      <c r="G165" t="s">
        <v>87</v>
      </c>
      <c r="H165" s="1">
        <v>802.19148086494704</v>
      </c>
      <c r="I165">
        <f>_FIIPer1000[[#This Row],[No.Per1000Adults]]-H164</f>
        <v>52.084987276741003</v>
      </c>
      <c r="J165" t="s">
        <v>67</v>
      </c>
      <c r="K165" t="s">
        <v>68</v>
      </c>
    </row>
    <row r="166" spans="1:11" hidden="1" x14ac:dyDescent="0.25">
      <c r="A166" t="s">
        <v>5</v>
      </c>
      <c r="B166" t="s">
        <v>6</v>
      </c>
      <c r="C166" t="s">
        <v>13</v>
      </c>
      <c r="D166" t="s">
        <v>14</v>
      </c>
      <c r="E166">
        <v>2021</v>
      </c>
      <c r="F166" t="s">
        <v>86</v>
      </c>
      <c r="G166" t="s">
        <v>87</v>
      </c>
      <c r="H166" s="1">
        <v>1092.9169687695901</v>
      </c>
      <c r="I166">
        <f>_FIIPer1000[[#This Row],[No.Per1000Adults]]-H165</f>
        <v>290.72548790464305</v>
      </c>
      <c r="J166" t="s">
        <v>67</v>
      </c>
      <c r="K166" t="s">
        <v>68</v>
      </c>
    </row>
    <row r="167" spans="1:11" hidden="1" x14ac:dyDescent="0.25">
      <c r="A167" t="s">
        <v>5</v>
      </c>
      <c r="B167" t="s">
        <v>6</v>
      </c>
      <c r="C167" t="s">
        <v>13</v>
      </c>
      <c r="D167" t="s">
        <v>14</v>
      </c>
      <c r="E167">
        <v>2022</v>
      </c>
      <c r="F167" t="s">
        <v>86</v>
      </c>
      <c r="G167" t="s">
        <v>87</v>
      </c>
      <c r="H167" s="1">
        <v>1223.8795914024399</v>
      </c>
      <c r="I167">
        <f>_FIIPer1000[[#This Row],[No.Per1000Adults]]-H166</f>
        <v>130.96262263284984</v>
      </c>
      <c r="J167" t="s">
        <v>67</v>
      </c>
      <c r="K167" t="s">
        <v>68</v>
      </c>
    </row>
    <row r="168" spans="1:11" hidden="1" x14ac:dyDescent="0.25">
      <c r="A168" t="s">
        <v>5</v>
      </c>
      <c r="B168" t="s">
        <v>6</v>
      </c>
      <c r="C168" t="s">
        <v>13</v>
      </c>
      <c r="D168" t="s">
        <v>14</v>
      </c>
      <c r="E168">
        <v>2023</v>
      </c>
      <c r="F168" t="s">
        <v>86</v>
      </c>
      <c r="G168" t="s">
        <v>87</v>
      </c>
      <c r="H168" s="1">
        <v>1219.44008289063</v>
      </c>
      <c r="I168">
        <f>_FIIPer1000[[#This Row],[No.Per1000Adults]]-H167</f>
        <v>-4.4395085118098905</v>
      </c>
      <c r="J168" t="s">
        <v>67</v>
      </c>
      <c r="K168" t="s">
        <v>68</v>
      </c>
    </row>
    <row r="169" spans="1:11" hidden="1" x14ac:dyDescent="0.25">
      <c r="A169" t="s">
        <v>5</v>
      </c>
      <c r="B169" t="s">
        <v>6</v>
      </c>
      <c r="C169" t="s">
        <v>13</v>
      </c>
      <c r="D169" t="s">
        <v>14</v>
      </c>
      <c r="E169">
        <v>2024</v>
      </c>
      <c r="F169" t="s">
        <v>86</v>
      </c>
      <c r="G169" t="s">
        <v>87</v>
      </c>
      <c r="H169" s="1">
        <v>1387.5819546842699</v>
      </c>
      <c r="I169">
        <f>_FIIPer1000[[#This Row],[No.Per1000Adults]]-H168</f>
        <v>168.14187179363989</v>
      </c>
      <c r="J169" t="s">
        <v>67</v>
      </c>
      <c r="K169" t="s">
        <v>68</v>
      </c>
    </row>
    <row r="170" spans="1:11" hidden="1" x14ac:dyDescent="0.25">
      <c r="A170" t="s">
        <v>5</v>
      </c>
      <c r="B170" t="s">
        <v>6</v>
      </c>
      <c r="C170" t="s">
        <v>15</v>
      </c>
      <c r="D170" t="s">
        <v>16</v>
      </c>
      <c r="E170">
        <v>2019</v>
      </c>
      <c r="F170" t="s">
        <v>86</v>
      </c>
      <c r="G170" t="s">
        <v>87</v>
      </c>
      <c r="J170" t="s">
        <v>67</v>
      </c>
      <c r="K170" t="s">
        <v>68</v>
      </c>
    </row>
    <row r="171" spans="1:11" hidden="1" x14ac:dyDescent="0.25">
      <c r="A171" t="s">
        <v>5</v>
      </c>
      <c r="B171" t="s">
        <v>6</v>
      </c>
      <c r="C171" t="s">
        <v>15</v>
      </c>
      <c r="D171" t="s">
        <v>16</v>
      </c>
      <c r="E171">
        <v>2020</v>
      </c>
      <c r="F171" t="s">
        <v>86</v>
      </c>
      <c r="G171" t="s">
        <v>87</v>
      </c>
      <c r="J171" t="s">
        <v>67</v>
      </c>
      <c r="K171" t="s">
        <v>68</v>
      </c>
    </row>
    <row r="172" spans="1:11" hidden="1" x14ac:dyDescent="0.25">
      <c r="A172" t="s">
        <v>5</v>
      </c>
      <c r="B172" t="s">
        <v>6</v>
      </c>
      <c r="C172" t="s">
        <v>15</v>
      </c>
      <c r="D172" t="s">
        <v>16</v>
      </c>
      <c r="E172">
        <v>2021</v>
      </c>
      <c r="F172" t="s">
        <v>86</v>
      </c>
      <c r="G172" t="s">
        <v>87</v>
      </c>
      <c r="J172" t="s">
        <v>67</v>
      </c>
      <c r="K172" t="s">
        <v>68</v>
      </c>
    </row>
    <row r="173" spans="1:11" hidden="1" x14ac:dyDescent="0.25">
      <c r="A173" t="s">
        <v>5</v>
      </c>
      <c r="B173" t="s">
        <v>6</v>
      </c>
      <c r="C173" t="s">
        <v>15</v>
      </c>
      <c r="D173" t="s">
        <v>16</v>
      </c>
      <c r="E173">
        <v>2022</v>
      </c>
      <c r="F173" t="s">
        <v>86</v>
      </c>
      <c r="G173" t="s">
        <v>87</v>
      </c>
      <c r="J173" t="s">
        <v>67</v>
      </c>
      <c r="K173" t="s">
        <v>68</v>
      </c>
    </row>
    <row r="174" spans="1:11" hidden="1" x14ac:dyDescent="0.25">
      <c r="A174" t="s">
        <v>5</v>
      </c>
      <c r="B174" t="s">
        <v>6</v>
      </c>
      <c r="C174" t="s">
        <v>15</v>
      </c>
      <c r="D174" t="s">
        <v>16</v>
      </c>
      <c r="E174">
        <v>2023</v>
      </c>
      <c r="F174" t="s">
        <v>86</v>
      </c>
      <c r="G174" t="s">
        <v>87</v>
      </c>
      <c r="J174" t="s">
        <v>67</v>
      </c>
      <c r="K174" t="s">
        <v>68</v>
      </c>
    </row>
    <row r="175" spans="1:11" hidden="1" x14ac:dyDescent="0.25">
      <c r="A175" t="s">
        <v>5</v>
      </c>
      <c r="B175" t="s">
        <v>6</v>
      </c>
      <c r="C175" t="s">
        <v>15</v>
      </c>
      <c r="D175" t="s">
        <v>16</v>
      </c>
      <c r="E175">
        <v>2024</v>
      </c>
      <c r="F175" t="s">
        <v>86</v>
      </c>
      <c r="G175" t="s">
        <v>87</v>
      </c>
      <c r="J175" t="s">
        <v>67</v>
      </c>
      <c r="K175" t="s">
        <v>68</v>
      </c>
    </row>
    <row r="176" spans="1:11" hidden="1" x14ac:dyDescent="0.25">
      <c r="A176" t="s">
        <v>5</v>
      </c>
      <c r="B176" t="s">
        <v>6</v>
      </c>
      <c r="C176" t="s">
        <v>17</v>
      </c>
      <c r="D176" t="s">
        <v>18</v>
      </c>
      <c r="E176">
        <v>2019</v>
      </c>
      <c r="F176" t="s">
        <v>86</v>
      </c>
      <c r="G176" t="s">
        <v>87</v>
      </c>
      <c r="H176" s="1">
        <v>647.81078995319001</v>
      </c>
      <c r="J176" t="s">
        <v>67</v>
      </c>
      <c r="K176" t="s">
        <v>68</v>
      </c>
    </row>
    <row r="177" spans="1:11" hidden="1" x14ac:dyDescent="0.25">
      <c r="A177" t="s">
        <v>5</v>
      </c>
      <c r="B177" t="s">
        <v>6</v>
      </c>
      <c r="C177" t="s">
        <v>17</v>
      </c>
      <c r="D177" t="s">
        <v>18</v>
      </c>
      <c r="E177">
        <v>2020</v>
      </c>
      <c r="F177" t="s">
        <v>86</v>
      </c>
      <c r="G177" t="s">
        <v>87</v>
      </c>
      <c r="H177" s="1">
        <v>671.99932160200103</v>
      </c>
      <c r="I177">
        <f>_FIIPer1000[[#This Row],[No.Per1000Adults]]-H176</f>
        <v>24.188531648811022</v>
      </c>
      <c r="J177" t="s">
        <v>67</v>
      </c>
      <c r="K177" t="s">
        <v>68</v>
      </c>
    </row>
    <row r="178" spans="1:11" hidden="1" x14ac:dyDescent="0.25">
      <c r="A178" t="s">
        <v>5</v>
      </c>
      <c r="B178" t="s">
        <v>6</v>
      </c>
      <c r="C178" t="s">
        <v>17</v>
      </c>
      <c r="D178" t="s">
        <v>18</v>
      </c>
      <c r="E178">
        <v>2021</v>
      </c>
      <c r="F178" t="s">
        <v>86</v>
      </c>
      <c r="G178" t="s">
        <v>87</v>
      </c>
      <c r="H178" s="1">
        <v>687.26103933662205</v>
      </c>
      <c r="I178">
        <f>_FIIPer1000[[#This Row],[No.Per1000Adults]]-H177</f>
        <v>15.261717734621016</v>
      </c>
      <c r="J178" t="s">
        <v>67</v>
      </c>
      <c r="K178" t="s">
        <v>68</v>
      </c>
    </row>
    <row r="179" spans="1:11" hidden="1" x14ac:dyDescent="0.25">
      <c r="A179" t="s">
        <v>5</v>
      </c>
      <c r="B179" t="s">
        <v>6</v>
      </c>
      <c r="C179" t="s">
        <v>17</v>
      </c>
      <c r="D179" t="s">
        <v>18</v>
      </c>
      <c r="E179">
        <v>2022</v>
      </c>
      <c r="F179" t="s">
        <v>86</v>
      </c>
      <c r="G179" t="s">
        <v>87</v>
      </c>
      <c r="H179" s="1">
        <v>681.82675708293198</v>
      </c>
      <c r="I179">
        <f>_FIIPer1000[[#This Row],[No.Per1000Adults]]-H178</f>
        <v>-5.4342822536900712</v>
      </c>
      <c r="J179" t="s">
        <v>67</v>
      </c>
      <c r="K179" t="s">
        <v>68</v>
      </c>
    </row>
    <row r="180" spans="1:11" hidden="1" x14ac:dyDescent="0.25">
      <c r="A180" t="s">
        <v>5</v>
      </c>
      <c r="B180" t="s">
        <v>6</v>
      </c>
      <c r="C180" t="s">
        <v>17</v>
      </c>
      <c r="D180" t="s">
        <v>18</v>
      </c>
      <c r="E180">
        <v>2023</v>
      </c>
      <c r="F180" t="s">
        <v>86</v>
      </c>
      <c r="G180" t="s">
        <v>87</v>
      </c>
      <c r="H180" s="1">
        <v>651.83471807616399</v>
      </c>
      <c r="I180">
        <f>_FIIPer1000[[#This Row],[No.Per1000Adults]]-H179</f>
        <v>-29.992039006767982</v>
      </c>
      <c r="J180" t="s">
        <v>67</v>
      </c>
      <c r="K180" t="s">
        <v>68</v>
      </c>
    </row>
    <row r="181" spans="1:11" hidden="1" x14ac:dyDescent="0.25">
      <c r="A181" t="s">
        <v>5</v>
      </c>
      <c r="B181" t="s">
        <v>6</v>
      </c>
      <c r="C181" t="s">
        <v>17</v>
      </c>
      <c r="D181" t="s">
        <v>18</v>
      </c>
      <c r="E181">
        <v>2024</v>
      </c>
      <c r="F181" t="s">
        <v>86</v>
      </c>
      <c r="G181" t="s">
        <v>87</v>
      </c>
      <c r="H181" s="1">
        <v>614.31660331718899</v>
      </c>
      <c r="I181">
        <f>_FIIPer1000[[#This Row],[No.Per1000Adults]]-H180</f>
        <v>-37.518114758975003</v>
      </c>
      <c r="J181" t="s">
        <v>67</v>
      </c>
      <c r="K181" t="s">
        <v>68</v>
      </c>
    </row>
    <row r="182" spans="1:11" hidden="1" x14ac:dyDescent="0.25">
      <c r="A182" t="s">
        <v>5</v>
      </c>
      <c r="B182" t="s">
        <v>6</v>
      </c>
      <c r="C182" t="s">
        <v>19</v>
      </c>
      <c r="D182" t="s">
        <v>20</v>
      </c>
      <c r="E182">
        <v>2019</v>
      </c>
      <c r="F182" t="s">
        <v>86</v>
      </c>
      <c r="G182" t="s">
        <v>87</v>
      </c>
      <c r="J182" t="s">
        <v>67</v>
      </c>
      <c r="K182" t="s">
        <v>68</v>
      </c>
    </row>
    <row r="183" spans="1:11" hidden="1" x14ac:dyDescent="0.25">
      <c r="A183" t="s">
        <v>5</v>
      </c>
      <c r="B183" t="s">
        <v>6</v>
      </c>
      <c r="C183" t="s">
        <v>19</v>
      </c>
      <c r="D183" t="s">
        <v>20</v>
      </c>
      <c r="E183">
        <v>2020</v>
      </c>
      <c r="F183" t="s">
        <v>86</v>
      </c>
      <c r="G183" t="s">
        <v>87</v>
      </c>
      <c r="J183" t="s">
        <v>67</v>
      </c>
      <c r="K183" t="s">
        <v>68</v>
      </c>
    </row>
    <row r="184" spans="1:11" hidden="1" x14ac:dyDescent="0.25">
      <c r="A184" t="s">
        <v>5</v>
      </c>
      <c r="B184" t="s">
        <v>6</v>
      </c>
      <c r="C184" t="s">
        <v>19</v>
      </c>
      <c r="D184" t="s">
        <v>20</v>
      </c>
      <c r="E184">
        <v>2021</v>
      </c>
      <c r="F184" t="s">
        <v>86</v>
      </c>
      <c r="G184" t="s">
        <v>87</v>
      </c>
      <c r="J184" t="s">
        <v>67</v>
      </c>
      <c r="K184" t="s">
        <v>68</v>
      </c>
    </row>
    <row r="185" spans="1:11" hidden="1" x14ac:dyDescent="0.25">
      <c r="A185" t="s">
        <v>5</v>
      </c>
      <c r="B185" t="s">
        <v>6</v>
      </c>
      <c r="C185" t="s">
        <v>19</v>
      </c>
      <c r="D185" t="s">
        <v>20</v>
      </c>
      <c r="E185">
        <v>2022</v>
      </c>
      <c r="F185" t="s">
        <v>86</v>
      </c>
      <c r="G185" t="s">
        <v>87</v>
      </c>
      <c r="J185" t="s">
        <v>67</v>
      </c>
      <c r="K185" t="s">
        <v>68</v>
      </c>
    </row>
    <row r="186" spans="1:11" hidden="1" x14ac:dyDescent="0.25">
      <c r="A186" t="s">
        <v>5</v>
      </c>
      <c r="B186" t="s">
        <v>6</v>
      </c>
      <c r="C186" t="s">
        <v>19</v>
      </c>
      <c r="D186" t="s">
        <v>20</v>
      </c>
      <c r="E186">
        <v>2023</v>
      </c>
      <c r="F186" t="s">
        <v>86</v>
      </c>
      <c r="G186" t="s">
        <v>87</v>
      </c>
      <c r="J186" t="s">
        <v>67</v>
      </c>
      <c r="K186" t="s">
        <v>68</v>
      </c>
    </row>
    <row r="187" spans="1:11" hidden="1" x14ac:dyDescent="0.25">
      <c r="A187" t="s">
        <v>5</v>
      </c>
      <c r="B187" t="s">
        <v>6</v>
      </c>
      <c r="C187" t="s">
        <v>19</v>
      </c>
      <c r="D187" t="s">
        <v>20</v>
      </c>
      <c r="E187">
        <v>2024</v>
      </c>
      <c r="F187" t="s">
        <v>86</v>
      </c>
      <c r="G187" t="s">
        <v>87</v>
      </c>
      <c r="J187" t="s">
        <v>67</v>
      </c>
      <c r="K187" t="s">
        <v>68</v>
      </c>
    </row>
    <row r="188" spans="1:11" hidden="1" x14ac:dyDescent="0.25">
      <c r="A188" t="s">
        <v>5</v>
      </c>
      <c r="B188" t="s">
        <v>6</v>
      </c>
      <c r="C188" t="s">
        <v>29</v>
      </c>
      <c r="D188" t="s">
        <v>30</v>
      </c>
      <c r="E188">
        <v>2019</v>
      </c>
      <c r="F188" t="s">
        <v>86</v>
      </c>
      <c r="G188" t="s">
        <v>87</v>
      </c>
      <c r="H188" s="1">
        <v>2558.6437101339402</v>
      </c>
      <c r="J188" t="s">
        <v>67</v>
      </c>
      <c r="K188" t="s">
        <v>68</v>
      </c>
    </row>
    <row r="189" spans="1:11" hidden="1" x14ac:dyDescent="0.25">
      <c r="A189" t="s">
        <v>5</v>
      </c>
      <c r="B189" t="s">
        <v>6</v>
      </c>
      <c r="C189" t="s">
        <v>29</v>
      </c>
      <c r="D189" t="s">
        <v>30</v>
      </c>
      <c r="E189">
        <v>2020</v>
      </c>
      <c r="F189" t="s">
        <v>86</v>
      </c>
      <c r="G189" t="s">
        <v>87</v>
      </c>
      <c r="H189" s="1">
        <v>2643.30491359489</v>
      </c>
      <c r="I189">
        <f>_FIIPer1000[[#This Row],[No.Per1000Adults]]-H188</f>
        <v>84.661203460949764</v>
      </c>
      <c r="J189" t="s">
        <v>67</v>
      </c>
      <c r="K189" t="s">
        <v>68</v>
      </c>
    </row>
    <row r="190" spans="1:11" hidden="1" x14ac:dyDescent="0.25">
      <c r="A190" t="s">
        <v>5</v>
      </c>
      <c r="B190" t="s">
        <v>6</v>
      </c>
      <c r="C190" t="s">
        <v>29</v>
      </c>
      <c r="D190" t="s">
        <v>30</v>
      </c>
      <c r="E190">
        <v>2021</v>
      </c>
      <c r="F190" t="s">
        <v>86</v>
      </c>
      <c r="G190" t="s">
        <v>87</v>
      </c>
      <c r="H190" s="1">
        <v>2671.5423090303598</v>
      </c>
      <c r="I190">
        <f>_FIIPer1000[[#This Row],[No.Per1000Adults]]-H189</f>
        <v>28.237395435469807</v>
      </c>
      <c r="J190" t="s">
        <v>67</v>
      </c>
      <c r="K190" t="s">
        <v>68</v>
      </c>
    </row>
    <row r="191" spans="1:11" hidden="1" x14ac:dyDescent="0.25">
      <c r="A191" t="s">
        <v>5</v>
      </c>
      <c r="B191" t="s">
        <v>6</v>
      </c>
      <c r="C191" t="s">
        <v>29</v>
      </c>
      <c r="D191" t="s">
        <v>30</v>
      </c>
      <c r="E191">
        <v>2022</v>
      </c>
      <c r="F191" t="s">
        <v>86</v>
      </c>
      <c r="G191" t="s">
        <v>87</v>
      </c>
      <c r="H191" s="1">
        <v>2729.34593914381</v>
      </c>
      <c r="I191">
        <f>_FIIPer1000[[#This Row],[No.Per1000Adults]]-H190</f>
        <v>57.803630113450254</v>
      </c>
      <c r="J191" t="s">
        <v>67</v>
      </c>
      <c r="K191" t="s">
        <v>68</v>
      </c>
    </row>
    <row r="192" spans="1:11" hidden="1" x14ac:dyDescent="0.25">
      <c r="A192" t="s">
        <v>5</v>
      </c>
      <c r="B192" t="s">
        <v>6</v>
      </c>
      <c r="C192" t="s">
        <v>29</v>
      </c>
      <c r="D192" t="s">
        <v>30</v>
      </c>
      <c r="E192">
        <v>2023</v>
      </c>
      <c r="F192" t="s">
        <v>86</v>
      </c>
      <c r="G192" t="s">
        <v>87</v>
      </c>
      <c r="H192" s="1">
        <v>2805.1652564121</v>
      </c>
      <c r="I192">
        <f>_FIIPer1000[[#This Row],[No.Per1000Adults]]-H191</f>
        <v>75.819317268289979</v>
      </c>
      <c r="J192" t="s">
        <v>67</v>
      </c>
      <c r="K192" t="s">
        <v>68</v>
      </c>
    </row>
    <row r="193" spans="1:11" hidden="1" x14ac:dyDescent="0.25">
      <c r="A193" t="s">
        <v>5</v>
      </c>
      <c r="B193" t="s">
        <v>6</v>
      </c>
      <c r="C193" t="s">
        <v>29</v>
      </c>
      <c r="D193" t="s">
        <v>30</v>
      </c>
      <c r="E193">
        <v>2024</v>
      </c>
      <c r="F193" t="s">
        <v>86</v>
      </c>
      <c r="G193" t="s">
        <v>87</v>
      </c>
      <c r="H193" s="1">
        <v>2856.5333190330498</v>
      </c>
      <c r="I193">
        <f>_FIIPer1000[[#This Row],[No.Per1000Adults]]-H192</f>
        <v>51.368062620949786</v>
      </c>
      <c r="J193" t="s">
        <v>67</v>
      </c>
      <c r="K193" t="s">
        <v>68</v>
      </c>
    </row>
    <row r="194" spans="1:11" hidden="1" x14ac:dyDescent="0.25">
      <c r="A194" t="s">
        <v>5</v>
      </c>
      <c r="B194" t="s">
        <v>6</v>
      </c>
      <c r="C194" t="s">
        <v>35</v>
      </c>
      <c r="D194" t="s">
        <v>36</v>
      </c>
      <c r="E194">
        <v>2019</v>
      </c>
      <c r="F194" t="s">
        <v>86</v>
      </c>
      <c r="G194" t="s">
        <v>87</v>
      </c>
      <c r="H194" s="1">
        <v>379.86874239135</v>
      </c>
      <c r="J194" t="s">
        <v>67</v>
      </c>
      <c r="K194" t="s">
        <v>68</v>
      </c>
    </row>
    <row r="195" spans="1:11" hidden="1" x14ac:dyDescent="0.25">
      <c r="A195" t="s">
        <v>5</v>
      </c>
      <c r="B195" t="s">
        <v>6</v>
      </c>
      <c r="C195" t="s">
        <v>35</v>
      </c>
      <c r="D195" t="s">
        <v>36</v>
      </c>
      <c r="E195">
        <v>2020</v>
      </c>
      <c r="F195" t="s">
        <v>86</v>
      </c>
      <c r="G195" t="s">
        <v>87</v>
      </c>
      <c r="H195" s="1">
        <v>403.08346506980899</v>
      </c>
      <c r="I195">
        <f>_FIIPer1000[[#This Row],[No.Per1000Adults]]-H194</f>
        <v>23.214722678458998</v>
      </c>
      <c r="J195" t="s">
        <v>67</v>
      </c>
      <c r="K195" t="s">
        <v>68</v>
      </c>
    </row>
    <row r="196" spans="1:11" hidden="1" x14ac:dyDescent="0.25">
      <c r="A196" t="s">
        <v>5</v>
      </c>
      <c r="B196" t="s">
        <v>6</v>
      </c>
      <c r="C196" t="s">
        <v>35</v>
      </c>
      <c r="D196" t="s">
        <v>36</v>
      </c>
      <c r="E196">
        <v>2021</v>
      </c>
      <c r="F196" t="s">
        <v>86</v>
      </c>
      <c r="G196" t="s">
        <v>87</v>
      </c>
      <c r="H196" s="1">
        <v>419.80185656329701</v>
      </c>
      <c r="I196">
        <f>_FIIPer1000[[#This Row],[No.Per1000Adults]]-H195</f>
        <v>16.718391493488014</v>
      </c>
      <c r="J196" t="s">
        <v>67</v>
      </c>
      <c r="K196" t="s">
        <v>68</v>
      </c>
    </row>
    <row r="197" spans="1:11" hidden="1" x14ac:dyDescent="0.25">
      <c r="A197" t="s">
        <v>5</v>
      </c>
      <c r="B197" t="s">
        <v>6</v>
      </c>
      <c r="C197" t="s">
        <v>35</v>
      </c>
      <c r="D197" t="s">
        <v>36</v>
      </c>
      <c r="E197">
        <v>2022</v>
      </c>
      <c r="F197" t="s">
        <v>86</v>
      </c>
      <c r="G197" t="s">
        <v>87</v>
      </c>
      <c r="H197" s="1">
        <v>496.45000174803999</v>
      </c>
      <c r="I197">
        <f>_FIIPer1000[[#This Row],[No.Per1000Adults]]-H196</f>
        <v>76.648145184742987</v>
      </c>
      <c r="J197" t="s">
        <v>67</v>
      </c>
      <c r="K197" t="s">
        <v>68</v>
      </c>
    </row>
    <row r="198" spans="1:11" hidden="1" x14ac:dyDescent="0.25">
      <c r="A198" t="s">
        <v>5</v>
      </c>
      <c r="B198" t="s">
        <v>6</v>
      </c>
      <c r="C198" t="s">
        <v>35</v>
      </c>
      <c r="D198" t="s">
        <v>36</v>
      </c>
      <c r="E198">
        <v>2023</v>
      </c>
      <c r="F198" t="s">
        <v>86</v>
      </c>
      <c r="G198" t="s">
        <v>87</v>
      </c>
      <c r="H198" s="1">
        <v>575.730021557584</v>
      </c>
      <c r="I198">
        <f>_FIIPer1000[[#This Row],[No.Per1000Adults]]-H197</f>
        <v>79.280019809544001</v>
      </c>
      <c r="J198" t="s">
        <v>67</v>
      </c>
      <c r="K198" t="s">
        <v>68</v>
      </c>
    </row>
    <row r="199" spans="1:11" hidden="1" x14ac:dyDescent="0.25">
      <c r="A199" t="s">
        <v>5</v>
      </c>
      <c r="B199" t="s">
        <v>6</v>
      </c>
      <c r="C199" t="s">
        <v>35</v>
      </c>
      <c r="D199" t="s">
        <v>36</v>
      </c>
      <c r="E199">
        <v>2024</v>
      </c>
      <c r="F199" t="s">
        <v>86</v>
      </c>
      <c r="G199" t="s">
        <v>87</v>
      </c>
      <c r="H199" s="1">
        <v>728.69296134732303</v>
      </c>
      <c r="I199">
        <f>_FIIPer1000[[#This Row],[No.Per1000Adults]]-H198</f>
        <v>152.96293978973904</v>
      </c>
      <c r="J199" t="s">
        <v>67</v>
      </c>
      <c r="K199" t="s">
        <v>68</v>
      </c>
    </row>
    <row r="200" spans="1:11" hidden="1" x14ac:dyDescent="0.25">
      <c r="A200" t="s">
        <v>5</v>
      </c>
      <c r="B200" t="s">
        <v>6</v>
      </c>
      <c r="C200" t="s">
        <v>7</v>
      </c>
      <c r="D200" t="s">
        <v>8</v>
      </c>
      <c r="E200">
        <v>2019</v>
      </c>
      <c r="F200" t="s">
        <v>86</v>
      </c>
      <c r="G200" t="s">
        <v>87</v>
      </c>
      <c r="H200" s="3">
        <v>136.26369855403999</v>
      </c>
      <c r="J200" t="s">
        <v>67</v>
      </c>
      <c r="K200" t="s">
        <v>68</v>
      </c>
    </row>
    <row r="201" spans="1:11" hidden="1" x14ac:dyDescent="0.25">
      <c r="A201" t="s">
        <v>5</v>
      </c>
      <c r="B201" t="s">
        <v>6</v>
      </c>
      <c r="C201" t="s">
        <v>7</v>
      </c>
      <c r="D201" t="s">
        <v>8</v>
      </c>
      <c r="E201">
        <v>2020</v>
      </c>
      <c r="F201" t="s">
        <v>86</v>
      </c>
      <c r="G201" t="s">
        <v>87</v>
      </c>
      <c r="H201" s="3">
        <v>130.453544697713</v>
      </c>
      <c r="I201">
        <f>_FIIPer1000[[#This Row],[No.Per1000Adults]]-H200</f>
        <v>-5.8101538563269912</v>
      </c>
      <c r="J201" t="s">
        <v>67</v>
      </c>
      <c r="K201" t="s">
        <v>68</v>
      </c>
    </row>
    <row r="202" spans="1:11" hidden="1" x14ac:dyDescent="0.25">
      <c r="A202" t="s">
        <v>5</v>
      </c>
      <c r="B202" t="s">
        <v>6</v>
      </c>
      <c r="C202" t="s">
        <v>7</v>
      </c>
      <c r="D202" t="s">
        <v>8</v>
      </c>
      <c r="E202">
        <v>2021</v>
      </c>
      <c r="F202" t="s">
        <v>86</v>
      </c>
      <c r="G202" t="s">
        <v>87</v>
      </c>
      <c r="H202" s="3">
        <v>127.026376257659</v>
      </c>
      <c r="I202">
        <f>_FIIPer1000[[#This Row],[No.Per1000Adults]]-H201</f>
        <v>-3.4271684400540039</v>
      </c>
      <c r="J202" t="s">
        <v>67</v>
      </c>
      <c r="K202" t="s">
        <v>68</v>
      </c>
    </row>
    <row r="203" spans="1:11" hidden="1" x14ac:dyDescent="0.25">
      <c r="A203" t="s">
        <v>5</v>
      </c>
      <c r="B203" t="s">
        <v>6</v>
      </c>
      <c r="C203" t="s">
        <v>7</v>
      </c>
      <c r="D203" t="s">
        <v>8</v>
      </c>
      <c r="E203">
        <v>2022</v>
      </c>
      <c r="F203" t="s">
        <v>86</v>
      </c>
      <c r="G203" t="s">
        <v>87</v>
      </c>
      <c r="H203" s="3">
        <v>137.61373519990599</v>
      </c>
      <c r="I203">
        <f>_FIIPer1000[[#This Row],[No.Per1000Adults]]-H202</f>
        <v>10.587358942246993</v>
      </c>
      <c r="J203" t="s">
        <v>67</v>
      </c>
      <c r="K203" t="s">
        <v>68</v>
      </c>
    </row>
    <row r="204" spans="1:11" hidden="1" x14ac:dyDescent="0.25">
      <c r="A204" t="s">
        <v>5</v>
      </c>
      <c r="B204" t="s">
        <v>6</v>
      </c>
      <c r="C204" t="s">
        <v>7</v>
      </c>
      <c r="D204" t="s">
        <v>8</v>
      </c>
      <c r="E204">
        <v>2023</v>
      </c>
      <c r="F204" t="s">
        <v>86</v>
      </c>
      <c r="G204" t="s">
        <v>87</v>
      </c>
      <c r="H204" s="3">
        <v>145.337387137978</v>
      </c>
      <c r="I204">
        <f>_FIIPer1000[[#This Row],[No.Per1000Adults]]-H203</f>
        <v>7.7236519380720097</v>
      </c>
      <c r="J204" t="s">
        <v>67</v>
      </c>
      <c r="K204" t="s">
        <v>68</v>
      </c>
    </row>
    <row r="205" spans="1:11" hidden="1" x14ac:dyDescent="0.25">
      <c r="A205" t="s">
        <v>5</v>
      </c>
      <c r="B205" t="s">
        <v>6</v>
      </c>
      <c r="C205" t="s">
        <v>7</v>
      </c>
      <c r="D205" t="s">
        <v>8</v>
      </c>
      <c r="E205">
        <v>2024</v>
      </c>
      <c r="F205" t="s">
        <v>86</v>
      </c>
      <c r="G205" t="s">
        <v>87</v>
      </c>
      <c r="H205" s="3">
        <v>150.67952280980199</v>
      </c>
      <c r="I205">
        <f>_FIIPer1000[[#This Row],[No.Per1000Adults]]-H204</f>
        <v>5.3421356718239963</v>
      </c>
      <c r="J205" t="s">
        <v>67</v>
      </c>
      <c r="K205" t="s">
        <v>68</v>
      </c>
    </row>
    <row r="206" spans="1:11" hidden="1" x14ac:dyDescent="0.25">
      <c r="A206" t="s">
        <v>5</v>
      </c>
      <c r="B206" t="s">
        <v>6</v>
      </c>
      <c r="C206" t="s">
        <v>37</v>
      </c>
      <c r="D206" t="s">
        <v>38</v>
      </c>
      <c r="E206">
        <v>2019</v>
      </c>
      <c r="F206" t="s">
        <v>86</v>
      </c>
      <c r="G206" t="s">
        <v>87</v>
      </c>
      <c r="H206" s="1">
        <v>106.314004697185</v>
      </c>
      <c r="J206" t="s">
        <v>67</v>
      </c>
      <c r="K206" t="s">
        <v>68</v>
      </c>
    </row>
    <row r="207" spans="1:11" hidden="1" x14ac:dyDescent="0.25">
      <c r="A207" t="s">
        <v>5</v>
      </c>
      <c r="B207" t="s">
        <v>6</v>
      </c>
      <c r="C207" t="s">
        <v>37</v>
      </c>
      <c r="D207" t="s">
        <v>38</v>
      </c>
      <c r="E207">
        <v>2020</v>
      </c>
      <c r="F207" t="s">
        <v>86</v>
      </c>
      <c r="G207" t="s">
        <v>87</v>
      </c>
      <c r="H207" s="1">
        <v>107.64269983894501</v>
      </c>
      <c r="I207">
        <f>_FIIPer1000[[#This Row],[No.Per1000Adults]]-H206</f>
        <v>1.3286951417600079</v>
      </c>
      <c r="J207" t="s">
        <v>67</v>
      </c>
      <c r="K207" t="s">
        <v>68</v>
      </c>
    </row>
    <row r="208" spans="1:11" hidden="1" x14ac:dyDescent="0.25">
      <c r="A208" t="s">
        <v>5</v>
      </c>
      <c r="B208" t="s">
        <v>6</v>
      </c>
      <c r="C208" t="s">
        <v>37</v>
      </c>
      <c r="D208" t="s">
        <v>38</v>
      </c>
      <c r="E208">
        <v>2021</v>
      </c>
      <c r="F208" t="s">
        <v>86</v>
      </c>
      <c r="G208" t="s">
        <v>87</v>
      </c>
      <c r="H208" s="1">
        <v>105.968825319196</v>
      </c>
      <c r="I208">
        <f>_FIIPer1000[[#This Row],[No.Per1000Adults]]-H207</f>
        <v>-1.6738745197490061</v>
      </c>
      <c r="J208" t="s">
        <v>67</v>
      </c>
      <c r="K208" t="s">
        <v>68</v>
      </c>
    </row>
    <row r="209" spans="1:11" hidden="1" x14ac:dyDescent="0.25">
      <c r="A209" t="s">
        <v>5</v>
      </c>
      <c r="B209" t="s">
        <v>6</v>
      </c>
      <c r="C209" t="s">
        <v>37</v>
      </c>
      <c r="D209" t="s">
        <v>38</v>
      </c>
      <c r="E209">
        <v>2022</v>
      </c>
      <c r="F209" t="s">
        <v>86</v>
      </c>
      <c r="G209" t="s">
        <v>87</v>
      </c>
      <c r="H209" s="1">
        <v>105.956077671217</v>
      </c>
      <c r="I209">
        <f>_FIIPer1000[[#This Row],[No.Per1000Adults]]-H208</f>
        <v>-1.2747647978997634E-2</v>
      </c>
      <c r="J209" t="s">
        <v>67</v>
      </c>
      <c r="K209" t="s">
        <v>68</v>
      </c>
    </row>
    <row r="210" spans="1:11" hidden="1" x14ac:dyDescent="0.25">
      <c r="A210" t="s">
        <v>5</v>
      </c>
      <c r="B210" t="s">
        <v>6</v>
      </c>
      <c r="C210" t="s">
        <v>37</v>
      </c>
      <c r="D210" t="s">
        <v>38</v>
      </c>
      <c r="E210">
        <v>2023</v>
      </c>
      <c r="F210" t="s">
        <v>86</v>
      </c>
      <c r="G210" t="s">
        <v>87</v>
      </c>
      <c r="H210" s="1">
        <v>96.321987549904193</v>
      </c>
      <c r="I210">
        <f>_FIIPer1000[[#This Row],[No.Per1000Adults]]-H209</f>
        <v>-9.6340901213128092</v>
      </c>
      <c r="J210" t="s">
        <v>67</v>
      </c>
      <c r="K210" t="s">
        <v>68</v>
      </c>
    </row>
    <row r="211" spans="1:11" hidden="1" x14ac:dyDescent="0.25">
      <c r="A211" t="s">
        <v>5</v>
      </c>
      <c r="B211" t="s">
        <v>6</v>
      </c>
      <c r="C211" t="s">
        <v>37</v>
      </c>
      <c r="D211" t="s">
        <v>38</v>
      </c>
      <c r="E211">
        <v>2024</v>
      </c>
      <c r="F211" t="s">
        <v>86</v>
      </c>
      <c r="G211" t="s">
        <v>87</v>
      </c>
      <c r="H211" s="2"/>
      <c r="J211" t="s">
        <v>67</v>
      </c>
      <c r="K211" t="s">
        <v>68</v>
      </c>
    </row>
    <row r="212" spans="1:11" hidden="1" x14ac:dyDescent="0.25">
      <c r="A212" t="s">
        <v>5</v>
      </c>
      <c r="B212" t="s">
        <v>6</v>
      </c>
      <c r="C212" t="s">
        <v>39</v>
      </c>
      <c r="D212" t="s">
        <v>40</v>
      </c>
      <c r="E212">
        <v>2019</v>
      </c>
      <c r="F212" t="s">
        <v>86</v>
      </c>
      <c r="G212" t="s">
        <v>87</v>
      </c>
      <c r="H212" s="1">
        <v>1097.58509300117</v>
      </c>
      <c r="J212" t="s">
        <v>67</v>
      </c>
      <c r="K212" t="s">
        <v>68</v>
      </c>
    </row>
    <row r="213" spans="1:11" hidden="1" x14ac:dyDescent="0.25">
      <c r="A213" t="s">
        <v>5</v>
      </c>
      <c r="B213" t="s">
        <v>6</v>
      </c>
      <c r="C213" t="s">
        <v>39</v>
      </c>
      <c r="D213" t="s">
        <v>40</v>
      </c>
      <c r="E213">
        <v>2020</v>
      </c>
      <c r="F213" t="s">
        <v>86</v>
      </c>
      <c r="G213" t="s">
        <v>87</v>
      </c>
      <c r="H213" s="1">
        <v>1175.457768363</v>
      </c>
      <c r="I213">
        <f>_FIIPer1000[[#This Row],[No.Per1000Adults]]-H212</f>
        <v>77.872675361830034</v>
      </c>
      <c r="J213" t="s">
        <v>67</v>
      </c>
      <c r="K213" t="s">
        <v>68</v>
      </c>
    </row>
    <row r="214" spans="1:11" hidden="1" x14ac:dyDescent="0.25">
      <c r="A214" t="s">
        <v>5</v>
      </c>
      <c r="B214" t="s">
        <v>6</v>
      </c>
      <c r="C214" t="s">
        <v>39</v>
      </c>
      <c r="D214" t="s">
        <v>40</v>
      </c>
      <c r="E214">
        <v>2021</v>
      </c>
      <c r="F214" t="s">
        <v>86</v>
      </c>
      <c r="G214" t="s">
        <v>87</v>
      </c>
      <c r="H214" s="1">
        <v>1284.9665800774001</v>
      </c>
      <c r="I214">
        <f>_FIIPer1000[[#This Row],[No.Per1000Adults]]-H213</f>
        <v>109.50881171440005</v>
      </c>
      <c r="J214" t="s">
        <v>67</v>
      </c>
      <c r="K214" t="s">
        <v>68</v>
      </c>
    </row>
    <row r="215" spans="1:11" hidden="1" x14ac:dyDescent="0.25">
      <c r="A215" t="s">
        <v>5</v>
      </c>
      <c r="B215" t="s">
        <v>6</v>
      </c>
      <c r="C215" t="s">
        <v>39</v>
      </c>
      <c r="D215" t="s">
        <v>40</v>
      </c>
      <c r="E215">
        <v>2022</v>
      </c>
      <c r="F215" t="s">
        <v>86</v>
      </c>
      <c r="G215" t="s">
        <v>87</v>
      </c>
      <c r="H215" s="1">
        <v>1504.61847898527</v>
      </c>
      <c r="I215">
        <f>_FIIPer1000[[#This Row],[No.Per1000Adults]]-H214</f>
        <v>219.65189890786996</v>
      </c>
      <c r="J215" t="s">
        <v>67</v>
      </c>
      <c r="K215" t="s">
        <v>68</v>
      </c>
    </row>
    <row r="216" spans="1:11" hidden="1" x14ac:dyDescent="0.25">
      <c r="A216" t="s">
        <v>5</v>
      </c>
      <c r="B216" t="s">
        <v>6</v>
      </c>
      <c r="C216" t="s">
        <v>39</v>
      </c>
      <c r="D216" t="s">
        <v>40</v>
      </c>
      <c r="E216">
        <v>2023</v>
      </c>
      <c r="F216" t="s">
        <v>86</v>
      </c>
      <c r="G216" t="s">
        <v>87</v>
      </c>
      <c r="H216" s="1">
        <v>1765.0553429931599</v>
      </c>
      <c r="I216">
        <f>_FIIPer1000[[#This Row],[No.Per1000Adults]]-H215</f>
        <v>260.43686400788988</v>
      </c>
      <c r="J216" t="s">
        <v>67</v>
      </c>
      <c r="K216" t="s">
        <v>68</v>
      </c>
    </row>
    <row r="217" spans="1:11" hidden="1" x14ac:dyDescent="0.25">
      <c r="A217" t="s">
        <v>5</v>
      </c>
      <c r="B217" t="s">
        <v>6</v>
      </c>
      <c r="C217" t="s">
        <v>39</v>
      </c>
      <c r="D217" t="s">
        <v>40</v>
      </c>
      <c r="E217">
        <v>2024</v>
      </c>
      <c r="F217" t="s">
        <v>86</v>
      </c>
      <c r="G217" t="s">
        <v>87</v>
      </c>
      <c r="H217" s="1">
        <v>1926.10828535973</v>
      </c>
      <c r="I217">
        <f>_FIIPer1000[[#This Row],[No.Per1000Adults]]-H216</f>
        <v>161.05294236657005</v>
      </c>
      <c r="J217" t="s">
        <v>67</v>
      </c>
      <c r="K217" t="s">
        <v>68</v>
      </c>
    </row>
    <row r="218" spans="1:11" hidden="1" x14ac:dyDescent="0.25">
      <c r="A218" t="s">
        <v>5</v>
      </c>
      <c r="B218" t="s">
        <v>6</v>
      </c>
      <c r="C218" t="s">
        <v>43</v>
      </c>
      <c r="D218" t="s">
        <v>44</v>
      </c>
      <c r="E218">
        <v>2019</v>
      </c>
      <c r="F218" t="s">
        <v>86</v>
      </c>
      <c r="G218" t="s">
        <v>87</v>
      </c>
      <c r="J218" t="s">
        <v>67</v>
      </c>
      <c r="K218" t="s">
        <v>68</v>
      </c>
    </row>
    <row r="219" spans="1:11" hidden="1" x14ac:dyDescent="0.25">
      <c r="A219" t="s">
        <v>5</v>
      </c>
      <c r="B219" t="s">
        <v>6</v>
      </c>
      <c r="C219" t="s">
        <v>43</v>
      </c>
      <c r="D219" t="s">
        <v>44</v>
      </c>
      <c r="E219">
        <v>2020</v>
      </c>
      <c r="F219" t="s">
        <v>86</v>
      </c>
      <c r="G219" t="s">
        <v>87</v>
      </c>
      <c r="J219" t="s">
        <v>67</v>
      </c>
      <c r="K219" t="s">
        <v>68</v>
      </c>
    </row>
    <row r="220" spans="1:11" hidden="1" x14ac:dyDescent="0.25">
      <c r="A220" t="s">
        <v>5</v>
      </c>
      <c r="B220" t="s">
        <v>6</v>
      </c>
      <c r="C220" t="s">
        <v>43</v>
      </c>
      <c r="D220" t="s">
        <v>44</v>
      </c>
      <c r="E220">
        <v>2021</v>
      </c>
      <c r="F220" t="s">
        <v>86</v>
      </c>
      <c r="G220" t="s">
        <v>87</v>
      </c>
      <c r="J220" t="s">
        <v>67</v>
      </c>
      <c r="K220" t="s">
        <v>68</v>
      </c>
    </row>
    <row r="221" spans="1:11" hidden="1" x14ac:dyDescent="0.25">
      <c r="A221" t="s">
        <v>5</v>
      </c>
      <c r="B221" t="s">
        <v>6</v>
      </c>
      <c r="C221" t="s">
        <v>43</v>
      </c>
      <c r="D221" t="s">
        <v>44</v>
      </c>
      <c r="E221">
        <v>2022</v>
      </c>
      <c r="F221" t="s">
        <v>86</v>
      </c>
      <c r="G221" t="s">
        <v>87</v>
      </c>
      <c r="J221" t="s">
        <v>67</v>
      </c>
      <c r="K221" t="s">
        <v>68</v>
      </c>
    </row>
    <row r="222" spans="1:11" hidden="1" x14ac:dyDescent="0.25">
      <c r="A222" t="s">
        <v>5</v>
      </c>
      <c r="B222" t="s">
        <v>6</v>
      </c>
      <c r="C222" t="s">
        <v>43</v>
      </c>
      <c r="D222" t="s">
        <v>44</v>
      </c>
      <c r="E222">
        <v>2023</v>
      </c>
      <c r="F222" t="s">
        <v>86</v>
      </c>
      <c r="G222" t="s">
        <v>87</v>
      </c>
      <c r="J222" t="s">
        <v>67</v>
      </c>
      <c r="K222" t="s">
        <v>68</v>
      </c>
    </row>
    <row r="223" spans="1:11" hidden="1" x14ac:dyDescent="0.25">
      <c r="A223" t="s">
        <v>5</v>
      </c>
      <c r="B223" t="s">
        <v>6</v>
      </c>
      <c r="C223" t="s">
        <v>43</v>
      </c>
      <c r="D223" t="s">
        <v>44</v>
      </c>
      <c r="E223">
        <v>2024</v>
      </c>
      <c r="F223" t="s">
        <v>86</v>
      </c>
      <c r="G223" t="s">
        <v>87</v>
      </c>
      <c r="J223" t="s">
        <v>67</v>
      </c>
      <c r="K223" t="s">
        <v>68</v>
      </c>
    </row>
    <row r="224" spans="1:11" hidden="1" x14ac:dyDescent="0.25">
      <c r="A224" t="s">
        <v>5</v>
      </c>
      <c r="B224" t="s">
        <v>6</v>
      </c>
      <c r="C224" t="s">
        <v>21</v>
      </c>
      <c r="D224" t="s">
        <v>22</v>
      </c>
      <c r="E224">
        <v>2019</v>
      </c>
      <c r="F224" t="s">
        <v>86</v>
      </c>
      <c r="G224" t="s">
        <v>87</v>
      </c>
      <c r="H224" s="1">
        <v>519.68532221441296</v>
      </c>
      <c r="J224" t="s">
        <v>67</v>
      </c>
      <c r="K224" t="s">
        <v>68</v>
      </c>
    </row>
    <row r="225" spans="1:11" hidden="1" x14ac:dyDescent="0.25">
      <c r="A225" t="s">
        <v>5</v>
      </c>
      <c r="B225" t="s">
        <v>6</v>
      </c>
      <c r="C225" t="s">
        <v>21</v>
      </c>
      <c r="D225" t="s">
        <v>22</v>
      </c>
      <c r="E225">
        <v>2020</v>
      </c>
      <c r="F225" t="s">
        <v>86</v>
      </c>
      <c r="G225" t="s">
        <v>87</v>
      </c>
      <c r="H225" s="1">
        <v>565.76033776106397</v>
      </c>
      <c r="I225">
        <f>_FIIPer1000[[#This Row],[No.Per1000Adults]]-H224</f>
        <v>46.075015546651002</v>
      </c>
      <c r="J225" t="s">
        <v>67</v>
      </c>
      <c r="K225" t="s">
        <v>68</v>
      </c>
    </row>
    <row r="226" spans="1:11" hidden="1" x14ac:dyDescent="0.25">
      <c r="A226" t="s">
        <v>5</v>
      </c>
      <c r="B226" t="s">
        <v>6</v>
      </c>
      <c r="C226" t="s">
        <v>21</v>
      </c>
      <c r="D226" t="s">
        <v>22</v>
      </c>
      <c r="E226">
        <v>2021</v>
      </c>
      <c r="F226" t="s">
        <v>86</v>
      </c>
      <c r="G226" t="s">
        <v>87</v>
      </c>
      <c r="H226" s="1">
        <v>536.47315070792899</v>
      </c>
      <c r="I226">
        <f>_FIIPer1000[[#This Row],[No.Per1000Adults]]-H225</f>
        <v>-29.287187053134971</v>
      </c>
      <c r="J226" t="s">
        <v>67</v>
      </c>
      <c r="K226" t="s">
        <v>68</v>
      </c>
    </row>
    <row r="227" spans="1:11" hidden="1" x14ac:dyDescent="0.25">
      <c r="A227" t="s">
        <v>5</v>
      </c>
      <c r="B227" t="s">
        <v>6</v>
      </c>
      <c r="C227" t="s">
        <v>21</v>
      </c>
      <c r="D227" t="s">
        <v>22</v>
      </c>
      <c r="E227">
        <v>2022</v>
      </c>
      <c r="F227" t="s">
        <v>86</v>
      </c>
      <c r="G227" t="s">
        <v>87</v>
      </c>
      <c r="H227" s="1">
        <v>493.02167986367698</v>
      </c>
      <c r="I227">
        <f>_FIIPer1000[[#This Row],[No.Per1000Adults]]-H226</f>
        <v>-43.451470844252015</v>
      </c>
      <c r="J227" t="s">
        <v>67</v>
      </c>
      <c r="K227" t="s">
        <v>68</v>
      </c>
    </row>
    <row r="228" spans="1:11" hidden="1" x14ac:dyDescent="0.25">
      <c r="A228" t="s">
        <v>5</v>
      </c>
      <c r="B228" t="s">
        <v>6</v>
      </c>
      <c r="C228" t="s">
        <v>21</v>
      </c>
      <c r="D228" t="s">
        <v>22</v>
      </c>
      <c r="E228">
        <v>2023</v>
      </c>
      <c r="F228" t="s">
        <v>86</v>
      </c>
      <c r="G228" t="s">
        <v>87</v>
      </c>
      <c r="H228" s="1">
        <v>485.596975381444</v>
      </c>
      <c r="I228">
        <f>_FIIPer1000[[#This Row],[No.Per1000Adults]]-H227</f>
        <v>-7.4247044822329826</v>
      </c>
      <c r="J228" t="s">
        <v>67</v>
      </c>
      <c r="K228" t="s">
        <v>68</v>
      </c>
    </row>
    <row r="229" spans="1:11" hidden="1" x14ac:dyDescent="0.25">
      <c r="A229" t="s">
        <v>5</v>
      </c>
      <c r="B229" t="s">
        <v>6</v>
      </c>
      <c r="C229" t="s">
        <v>21</v>
      </c>
      <c r="D229" t="s">
        <v>22</v>
      </c>
      <c r="E229">
        <v>2024</v>
      </c>
      <c r="F229" t="s">
        <v>86</v>
      </c>
      <c r="G229" t="s">
        <v>87</v>
      </c>
      <c r="H229" s="2"/>
      <c r="J229" t="s">
        <v>67</v>
      </c>
      <c r="K229" t="s">
        <v>68</v>
      </c>
    </row>
    <row r="230" spans="1:11" hidden="1" x14ac:dyDescent="0.25">
      <c r="A230" t="s">
        <v>5</v>
      </c>
      <c r="B230" t="s">
        <v>6</v>
      </c>
      <c r="C230" t="s">
        <v>23</v>
      </c>
      <c r="D230" t="s">
        <v>24</v>
      </c>
      <c r="E230">
        <v>2019</v>
      </c>
      <c r="F230" t="s">
        <v>86</v>
      </c>
      <c r="G230" t="s">
        <v>87</v>
      </c>
      <c r="H230" s="1">
        <v>46.33244515482</v>
      </c>
      <c r="J230" t="s">
        <v>67</v>
      </c>
      <c r="K230" t="s">
        <v>68</v>
      </c>
    </row>
    <row r="231" spans="1:11" hidden="1" x14ac:dyDescent="0.25">
      <c r="A231" t="s">
        <v>5</v>
      </c>
      <c r="B231" t="s">
        <v>6</v>
      </c>
      <c r="C231" t="s">
        <v>23</v>
      </c>
      <c r="D231" t="s">
        <v>24</v>
      </c>
      <c r="E231">
        <v>2020</v>
      </c>
      <c r="F231" t="s">
        <v>86</v>
      </c>
      <c r="G231" t="s">
        <v>87</v>
      </c>
      <c r="H231" s="1">
        <v>55.895370677251798</v>
      </c>
      <c r="I231">
        <f>_FIIPer1000[[#This Row],[No.Per1000Adults]]-H230</f>
        <v>9.5629255224317973</v>
      </c>
      <c r="J231" t="s">
        <v>67</v>
      </c>
      <c r="K231" t="s">
        <v>68</v>
      </c>
    </row>
    <row r="232" spans="1:11" hidden="1" x14ac:dyDescent="0.25">
      <c r="A232" t="s">
        <v>5</v>
      </c>
      <c r="B232" t="s">
        <v>6</v>
      </c>
      <c r="C232" t="s">
        <v>23</v>
      </c>
      <c r="D232" t="s">
        <v>24</v>
      </c>
      <c r="E232">
        <v>2021</v>
      </c>
      <c r="F232" t="s">
        <v>86</v>
      </c>
      <c r="G232" t="s">
        <v>87</v>
      </c>
      <c r="H232" s="1">
        <v>59.215501154086503</v>
      </c>
      <c r="I232">
        <f>_FIIPer1000[[#This Row],[No.Per1000Adults]]-H231</f>
        <v>3.3201304768347057</v>
      </c>
      <c r="J232" t="s">
        <v>67</v>
      </c>
      <c r="K232" t="s">
        <v>68</v>
      </c>
    </row>
    <row r="233" spans="1:11" hidden="1" x14ac:dyDescent="0.25">
      <c r="A233" t="s">
        <v>5</v>
      </c>
      <c r="B233" t="s">
        <v>6</v>
      </c>
      <c r="C233" t="s">
        <v>23</v>
      </c>
      <c r="D233" t="s">
        <v>24</v>
      </c>
      <c r="E233">
        <v>2022</v>
      </c>
      <c r="F233" t="s">
        <v>86</v>
      </c>
      <c r="G233" t="s">
        <v>87</v>
      </c>
      <c r="H233" s="1">
        <v>69.321391295958904</v>
      </c>
      <c r="I233">
        <f>_FIIPer1000[[#This Row],[No.Per1000Adults]]-H232</f>
        <v>10.105890141872401</v>
      </c>
      <c r="J233" t="s">
        <v>67</v>
      </c>
      <c r="K233" t="s">
        <v>68</v>
      </c>
    </row>
    <row r="234" spans="1:11" hidden="1" x14ac:dyDescent="0.25">
      <c r="A234" t="s">
        <v>5</v>
      </c>
      <c r="B234" t="s">
        <v>6</v>
      </c>
      <c r="C234" t="s">
        <v>23</v>
      </c>
      <c r="D234" t="s">
        <v>24</v>
      </c>
      <c r="E234">
        <v>2023</v>
      </c>
      <c r="F234" t="s">
        <v>86</v>
      </c>
      <c r="G234" t="s">
        <v>87</v>
      </c>
      <c r="H234" s="1">
        <v>79.150726643267703</v>
      </c>
      <c r="I234">
        <f>_FIIPer1000[[#This Row],[No.Per1000Adults]]-H233</f>
        <v>9.829335347308799</v>
      </c>
      <c r="J234" t="s">
        <v>67</v>
      </c>
      <c r="K234" t="s">
        <v>68</v>
      </c>
    </row>
    <row r="235" spans="1:11" hidden="1" x14ac:dyDescent="0.25">
      <c r="A235" t="s">
        <v>5</v>
      </c>
      <c r="B235" t="s">
        <v>6</v>
      </c>
      <c r="C235" t="s">
        <v>23</v>
      </c>
      <c r="D235" t="s">
        <v>24</v>
      </c>
      <c r="E235">
        <v>2024</v>
      </c>
      <c r="F235" t="s">
        <v>86</v>
      </c>
      <c r="G235" t="s">
        <v>87</v>
      </c>
      <c r="H235" s="1">
        <v>93.0845529410621</v>
      </c>
      <c r="I235">
        <f>_FIIPer1000[[#This Row],[No.Per1000Adults]]-H234</f>
        <v>13.933826297794397</v>
      </c>
      <c r="J235" t="s">
        <v>67</v>
      </c>
      <c r="K235" t="s">
        <v>68</v>
      </c>
    </row>
    <row r="236" spans="1:11" hidden="1" x14ac:dyDescent="0.25">
      <c r="A236" t="s">
        <v>5</v>
      </c>
      <c r="B236" t="s">
        <v>6</v>
      </c>
      <c r="C236" t="s">
        <v>25</v>
      </c>
      <c r="D236" t="s">
        <v>26</v>
      </c>
      <c r="E236">
        <v>2019</v>
      </c>
      <c r="F236" t="s">
        <v>86</v>
      </c>
      <c r="G236" t="s">
        <v>87</v>
      </c>
      <c r="H236" s="1">
        <v>86.831121006526203</v>
      </c>
      <c r="J236" t="s">
        <v>67</v>
      </c>
      <c r="K236" t="s">
        <v>68</v>
      </c>
    </row>
    <row r="237" spans="1:11" hidden="1" x14ac:dyDescent="0.25">
      <c r="A237" t="s">
        <v>5</v>
      </c>
      <c r="B237" t="s">
        <v>6</v>
      </c>
      <c r="C237" t="s">
        <v>25</v>
      </c>
      <c r="D237" t="s">
        <v>26</v>
      </c>
      <c r="E237">
        <v>2020</v>
      </c>
      <c r="F237" t="s">
        <v>86</v>
      </c>
      <c r="G237" t="s">
        <v>87</v>
      </c>
      <c r="H237" s="1">
        <v>83.113549050458801</v>
      </c>
      <c r="I237">
        <f>_FIIPer1000[[#This Row],[No.Per1000Adults]]-H236</f>
        <v>-3.7175719560674025</v>
      </c>
      <c r="J237" t="s">
        <v>67</v>
      </c>
      <c r="K237" t="s">
        <v>68</v>
      </c>
    </row>
    <row r="238" spans="1:11" hidden="1" x14ac:dyDescent="0.25">
      <c r="A238" t="s">
        <v>5</v>
      </c>
      <c r="B238" t="s">
        <v>6</v>
      </c>
      <c r="C238" t="s">
        <v>25</v>
      </c>
      <c r="D238" t="s">
        <v>26</v>
      </c>
      <c r="E238">
        <v>2021</v>
      </c>
      <c r="F238" t="s">
        <v>86</v>
      </c>
      <c r="G238" t="s">
        <v>87</v>
      </c>
      <c r="H238" s="1">
        <v>80.172266237113902</v>
      </c>
      <c r="I238">
        <f>_FIIPer1000[[#This Row],[No.Per1000Adults]]-H237</f>
        <v>-2.9412828133448983</v>
      </c>
      <c r="J238" t="s">
        <v>67</v>
      </c>
      <c r="K238" t="s">
        <v>68</v>
      </c>
    </row>
    <row r="239" spans="1:11" hidden="1" x14ac:dyDescent="0.25">
      <c r="A239" t="s">
        <v>5</v>
      </c>
      <c r="B239" t="s">
        <v>6</v>
      </c>
      <c r="C239" t="s">
        <v>25</v>
      </c>
      <c r="D239" t="s">
        <v>26</v>
      </c>
      <c r="E239">
        <v>2022</v>
      </c>
      <c r="F239" t="s">
        <v>86</v>
      </c>
      <c r="G239" t="s">
        <v>87</v>
      </c>
      <c r="H239" s="1">
        <v>82.544575048262899</v>
      </c>
      <c r="I239">
        <f>_FIIPer1000[[#This Row],[No.Per1000Adults]]-H238</f>
        <v>2.3723088111489972</v>
      </c>
      <c r="J239" t="s">
        <v>67</v>
      </c>
      <c r="K239" t="s">
        <v>68</v>
      </c>
    </row>
    <row r="240" spans="1:11" hidden="1" x14ac:dyDescent="0.25">
      <c r="A240" t="s">
        <v>5</v>
      </c>
      <c r="B240" t="s">
        <v>6</v>
      </c>
      <c r="C240" t="s">
        <v>25</v>
      </c>
      <c r="D240" t="s">
        <v>26</v>
      </c>
      <c r="E240">
        <v>2023</v>
      </c>
      <c r="F240" t="s">
        <v>86</v>
      </c>
      <c r="G240" t="s">
        <v>87</v>
      </c>
      <c r="H240" s="1">
        <v>83.986112967206296</v>
      </c>
      <c r="I240">
        <f>_FIIPer1000[[#This Row],[No.Per1000Adults]]-H239</f>
        <v>1.4415379189433963</v>
      </c>
      <c r="J240" t="s">
        <v>67</v>
      </c>
      <c r="K240" t="s">
        <v>68</v>
      </c>
    </row>
    <row r="241" spans="1:11" hidden="1" x14ac:dyDescent="0.25">
      <c r="A241" t="s">
        <v>5</v>
      </c>
      <c r="B241" t="s">
        <v>6</v>
      </c>
      <c r="C241" t="s">
        <v>25</v>
      </c>
      <c r="D241" t="s">
        <v>26</v>
      </c>
      <c r="E241">
        <v>2024</v>
      </c>
      <c r="F241" t="s">
        <v>86</v>
      </c>
      <c r="G241" t="s">
        <v>87</v>
      </c>
      <c r="H241" s="1">
        <v>86.779662342711404</v>
      </c>
      <c r="I241">
        <f>_FIIPer1000[[#This Row],[No.Per1000Adults]]-H240</f>
        <v>2.7935493755051084</v>
      </c>
      <c r="J241" t="s">
        <v>67</v>
      </c>
      <c r="K241" t="s">
        <v>68</v>
      </c>
    </row>
    <row r="242" spans="1:11" hidden="1" x14ac:dyDescent="0.25">
      <c r="A242" t="s">
        <v>5</v>
      </c>
      <c r="B242" t="s">
        <v>6</v>
      </c>
      <c r="C242" t="s">
        <v>27</v>
      </c>
      <c r="D242" t="s">
        <v>28</v>
      </c>
      <c r="E242">
        <v>2019</v>
      </c>
      <c r="F242" t="s">
        <v>86</v>
      </c>
      <c r="G242" t="s">
        <v>87</v>
      </c>
      <c r="H242" s="1">
        <v>296.90070619403701</v>
      </c>
      <c r="J242" t="s">
        <v>67</v>
      </c>
      <c r="K242" t="s">
        <v>68</v>
      </c>
    </row>
    <row r="243" spans="1:11" hidden="1" x14ac:dyDescent="0.25">
      <c r="A243" t="s">
        <v>5</v>
      </c>
      <c r="B243" t="s">
        <v>6</v>
      </c>
      <c r="C243" t="s">
        <v>27</v>
      </c>
      <c r="D243" t="s">
        <v>28</v>
      </c>
      <c r="E243">
        <v>2020</v>
      </c>
      <c r="F243" t="s">
        <v>86</v>
      </c>
      <c r="G243" t="s">
        <v>87</v>
      </c>
      <c r="H243" s="1">
        <v>296.09904344744899</v>
      </c>
      <c r="I243">
        <f>_FIIPer1000[[#This Row],[No.Per1000Adults]]-H242</f>
        <v>-0.80166274658802195</v>
      </c>
      <c r="J243" t="s">
        <v>67</v>
      </c>
      <c r="K243" t="s">
        <v>68</v>
      </c>
    </row>
    <row r="244" spans="1:11" hidden="1" x14ac:dyDescent="0.25">
      <c r="A244" t="s">
        <v>5</v>
      </c>
      <c r="B244" t="s">
        <v>6</v>
      </c>
      <c r="C244" t="s">
        <v>27</v>
      </c>
      <c r="D244" t="s">
        <v>28</v>
      </c>
      <c r="E244">
        <v>2021</v>
      </c>
      <c r="F244" t="s">
        <v>86</v>
      </c>
      <c r="G244" t="s">
        <v>87</v>
      </c>
      <c r="H244" s="1">
        <v>265.45412491364999</v>
      </c>
      <c r="I244">
        <f>_FIIPer1000[[#This Row],[No.Per1000Adults]]-H243</f>
        <v>-30.644918533799</v>
      </c>
      <c r="J244" t="s">
        <v>67</v>
      </c>
      <c r="K244" t="s">
        <v>68</v>
      </c>
    </row>
    <row r="245" spans="1:11" hidden="1" x14ac:dyDescent="0.25">
      <c r="A245" t="s">
        <v>5</v>
      </c>
      <c r="B245" t="s">
        <v>6</v>
      </c>
      <c r="C245" t="s">
        <v>27</v>
      </c>
      <c r="D245" t="s">
        <v>28</v>
      </c>
      <c r="E245">
        <v>2022</v>
      </c>
      <c r="F245" t="s">
        <v>86</v>
      </c>
      <c r="G245" t="s">
        <v>87</v>
      </c>
      <c r="H245" s="1">
        <v>258.09444446292599</v>
      </c>
      <c r="I245">
        <f>_FIIPer1000[[#This Row],[No.Per1000Adults]]-H244</f>
        <v>-7.3596804507239995</v>
      </c>
      <c r="J245" t="s">
        <v>67</v>
      </c>
      <c r="K245" t="s">
        <v>68</v>
      </c>
    </row>
    <row r="246" spans="1:11" hidden="1" x14ac:dyDescent="0.25">
      <c r="A246" t="s">
        <v>5</v>
      </c>
      <c r="B246" t="s">
        <v>6</v>
      </c>
      <c r="C246" t="s">
        <v>27</v>
      </c>
      <c r="D246" t="s">
        <v>28</v>
      </c>
      <c r="E246">
        <v>2023</v>
      </c>
      <c r="F246" t="s">
        <v>86</v>
      </c>
      <c r="G246" t="s">
        <v>87</v>
      </c>
      <c r="H246" s="1">
        <v>282.37059014700799</v>
      </c>
      <c r="I246">
        <f>_FIIPer1000[[#This Row],[No.Per1000Adults]]-H245</f>
        <v>24.276145684081996</v>
      </c>
      <c r="J246" t="s">
        <v>67</v>
      </c>
      <c r="K246" t="s">
        <v>68</v>
      </c>
    </row>
    <row r="247" spans="1:11" hidden="1" x14ac:dyDescent="0.25">
      <c r="A247" t="s">
        <v>5</v>
      </c>
      <c r="B247" t="s">
        <v>6</v>
      </c>
      <c r="C247" t="s">
        <v>27</v>
      </c>
      <c r="D247" t="s">
        <v>28</v>
      </c>
      <c r="E247">
        <v>2024</v>
      </c>
      <c r="F247" t="s">
        <v>86</v>
      </c>
      <c r="G247" t="s">
        <v>87</v>
      </c>
      <c r="H247" s="1">
        <v>266.32045456539498</v>
      </c>
      <c r="I247">
        <f>_FIIPer1000[[#This Row],[No.Per1000Adults]]-H246</f>
        <v>-16.050135581613006</v>
      </c>
      <c r="J247" t="s">
        <v>67</v>
      </c>
      <c r="K247" t="s">
        <v>68</v>
      </c>
    </row>
    <row r="248" spans="1:11" hidden="1" x14ac:dyDescent="0.25">
      <c r="A248" t="s">
        <v>5</v>
      </c>
      <c r="B248" t="s">
        <v>6</v>
      </c>
      <c r="C248" t="s">
        <v>33</v>
      </c>
      <c r="D248" t="s">
        <v>34</v>
      </c>
      <c r="E248">
        <v>2019</v>
      </c>
      <c r="F248" t="s">
        <v>86</v>
      </c>
      <c r="G248" t="s">
        <v>87</v>
      </c>
      <c r="H248" s="1">
        <v>263.225001515732</v>
      </c>
      <c r="J248" t="s">
        <v>67</v>
      </c>
      <c r="K248" t="s">
        <v>68</v>
      </c>
    </row>
    <row r="249" spans="1:11" hidden="1" x14ac:dyDescent="0.25">
      <c r="A249" t="s">
        <v>5</v>
      </c>
      <c r="B249" t="s">
        <v>6</v>
      </c>
      <c r="C249" t="s">
        <v>33</v>
      </c>
      <c r="D249" t="s">
        <v>34</v>
      </c>
      <c r="E249">
        <v>2020</v>
      </c>
      <c r="F249" t="s">
        <v>86</v>
      </c>
      <c r="G249" t="s">
        <v>87</v>
      </c>
      <c r="H249" s="1">
        <v>294.93384507665797</v>
      </c>
      <c r="I249">
        <f>_FIIPer1000[[#This Row],[No.Per1000Adults]]-H248</f>
        <v>31.70884356092597</v>
      </c>
      <c r="J249" t="s">
        <v>67</v>
      </c>
      <c r="K249" t="s">
        <v>68</v>
      </c>
    </row>
    <row r="250" spans="1:11" hidden="1" x14ac:dyDescent="0.25">
      <c r="A250" t="s">
        <v>5</v>
      </c>
      <c r="B250" t="s">
        <v>6</v>
      </c>
      <c r="C250" t="s">
        <v>33</v>
      </c>
      <c r="D250" t="s">
        <v>34</v>
      </c>
      <c r="E250">
        <v>2021</v>
      </c>
      <c r="F250" t="s">
        <v>86</v>
      </c>
      <c r="G250" t="s">
        <v>87</v>
      </c>
      <c r="H250" s="1">
        <v>295.31120168234901</v>
      </c>
      <c r="I250">
        <f>_FIIPer1000[[#This Row],[No.Per1000Adults]]-H249</f>
        <v>0.37735660569103402</v>
      </c>
      <c r="J250" t="s">
        <v>67</v>
      </c>
      <c r="K250" t="s">
        <v>68</v>
      </c>
    </row>
    <row r="251" spans="1:11" hidden="1" x14ac:dyDescent="0.25">
      <c r="A251" t="s">
        <v>5</v>
      </c>
      <c r="B251" t="s">
        <v>6</v>
      </c>
      <c r="C251" t="s">
        <v>33</v>
      </c>
      <c r="D251" t="s">
        <v>34</v>
      </c>
      <c r="E251">
        <v>2022</v>
      </c>
      <c r="F251" t="s">
        <v>86</v>
      </c>
      <c r="G251" t="s">
        <v>87</v>
      </c>
      <c r="H251" s="1">
        <v>309.11379454221202</v>
      </c>
      <c r="I251">
        <f>_FIIPer1000[[#This Row],[No.Per1000Adults]]-H250</f>
        <v>13.802592859863012</v>
      </c>
      <c r="J251" t="s">
        <v>67</v>
      </c>
      <c r="K251" t="s">
        <v>68</v>
      </c>
    </row>
    <row r="252" spans="1:11" hidden="1" x14ac:dyDescent="0.25">
      <c r="A252" t="s">
        <v>5</v>
      </c>
      <c r="B252" t="s">
        <v>6</v>
      </c>
      <c r="C252" t="s">
        <v>33</v>
      </c>
      <c r="D252" t="s">
        <v>34</v>
      </c>
      <c r="E252">
        <v>2023</v>
      </c>
      <c r="F252" t="s">
        <v>86</v>
      </c>
      <c r="G252" t="s">
        <v>87</v>
      </c>
      <c r="H252" s="1">
        <v>387.93347667065899</v>
      </c>
      <c r="I252">
        <f>_FIIPer1000[[#This Row],[No.Per1000Adults]]-H251</f>
        <v>78.819682128446971</v>
      </c>
      <c r="J252" t="s">
        <v>67</v>
      </c>
      <c r="K252" t="s">
        <v>68</v>
      </c>
    </row>
    <row r="253" spans="1:11" hidden="1" x14ac:dyDescent="0.25">
      <c r="A253" t="s">
        <v>5</v>
      </c>
      <c r="B253" t="s">
        <v>6</v>
      </c>
      <c r="C253" t="s">
        <v>33</v>
      </c>
      <c r="D253" t="s">
        <v>34</v>
      </c>
      <c r="E253">
        <v>2024</v>
      </c>
      <c r="F253" t="s">
        <v>86</v>
      </c>
      <c r="G253" t="s">
        <v>87</v>
      </c>
      <c r="H253" s="1">
        <v>438.511568856184</v>
      </c>
      <c r="I253">
        <f>_FIIPer1000[[#This Row],[No.Per1000Adults]]-H252</f>
        <v>50.578092185525009</v>
      </c>
      <c r="J253" t="s">
        <v>67</v>
      </c>
      <c r="K253" t="s">
        <v>68</v>
      </c>
    </row>
    <row r="254" spans="1:11" hidden="1" x14ac:dyDescent="0.25">
      <c r="A254" t="s">
        <v>5</v>
      </c>
      <c r="B254" t="s">
        <v>6</v>
      </c>
      <c r="C254" t="s">
        <v>31</v>
      </c>
      <c r="D254" t="s">
        <v>32</v>
      </c>
      <c r="E254">
        <v>2019</v>
      </c>
      <c r="F254" t="s">
        <v>86</v>
      </c>
      <c r="G254" t="s">
        <v>87</v>
      </c>
      <c r="H254" s="1">
        <v>2447.6078788201198</v>
      </c>
      <c r="J254" t="s">
        <v>67</v>
      </c>
      <c r="K254" t="s">
        <v>68</v>
      </c>
    </row>
    <row r="255" spans="1:11" hidden="1" x14ac:dyDescent="0.25">
      <c r="A255" t="s">
        <v>5</v>
      </c>
      <c r="B255" t="s">
        <v>6</v>
      </c>
      <c r="C255" t="s">
        <v>31</v>
      </c>
      <c r="D255" t="s">
        <v>32</v>
      </c>
      <c r="E255">
        <v>2020</v>
      </c>
      <c r="F255" t="s">
        <v>86</v>
      </c>
      <c r="G255" t="s">
        <v>87</v>
      </c>
      <c r="H255" s="1">
        <v>2496.44089961695</v>
      </c>
      <c r="I255">
        <f>_FIIPer1000[[#This Row],[No.Per1000Adults]]-H254</f>
        <v>48.833020796830169</v>
      </c>
      <c r="J255" t="s">
        <v>67</v>
      </c>
      <c r="K255" t="s">
        <v>68</v>
      </c>
    </row>
    <row r="256" spans="1:11" hidden="1" x14ac:dyDescent="0.25">
      <c r="A256" t="s">
        <v>5</v>
      </c>
      <c r="B256" t="s">
        <v>6</v>
      </c>
      <c r="C256" t="s">
        <v>31</v>
      </c>
      <c r="D256" t="s">
        <v>32</v>
      </c>
      <c r="E256">
        <v>2021</v>
      </c>
      <c r="F256" t="s">
        <v>86</v>
      </c>
      <c r="G256" t="s">
        <v>87</v>
      </c>
      <c r="H256" s="1">
        <v>2577.4658930188102</v>
      </c>
      <c r="I256">
        <f>_FIIPer1000[[#This Row],[No.Per1000Adults]]-H255</f>
        <v>81.024993401860229</v>
      </c>
      <c r="J256" t="s">
        <v>67</v>
      </c>
      <c r="K256" t="s">
        <v>68</v>
      </c>
    </row>
    <row r="257" spans="1:11" hidden="1" x14ac:dyDescent="0.25">
      <c r="A257" t="s">
        <v>5</v>
      </c>
      <c r="B257" t="s">
        <v>6</v>
      </c>
      <c r="C257" t="s">
        <v>31</v>
      </c>
      <c r="D257" t="s">
        <v>32</v>
      </c>
      <c r="E257">
        <v>2022</v>
      </c>
      <c r="F257" t="s">
        <v>86</v>
      </c>
      <c r="G257" t="s">
        <v>87</v>
      </c>
      <c r="H257" s="1">
        <v>2712.6877201224202</v>
      </c>
      <c r="I257">
        <f>_FIIPer1000[[#This Row],[No.Per1000Adults]]-H256</f>
        <v>135.22182710360994</v>
      </c>
      <c r="J257" t="s">
        <v>67</v>
      </c>
      <c r="K257" t="s">
        <v>68</v>
      </c>
    </row>
    <row r="258" spans="1:11" hidden="1" x14ac:dyDescent="0.25">
      <c r="A258" t="s">
        <v>5</v>
      </c>
      <c r="B258" t="s">
        <v>6</v>
      </c>
      <c r="C258" t="s">
        <v>31</v>
      </c>
      <c r="D258" t="s">
        <v>32</v>
      </c>
      <c r="E258">
        <v>2023</v>
      </c>
      <c r="F258" t="s">
        <v>86</v>
      </c>
      <c r="G258" t="s">
        <v>87</v>
      </c>
      <c r="H258" s="1">
        <v>2819.3726579801701</v>
      </c>
      <c r="I258">
        <f>_FIIPer1000[[#This Row],[No.Per1000Adults]]-H257</f>
        <v>106.6849378577499</v>
      </c>
      <c r="J258" t="s">
        <v>67</v>
      </c>
      <c r="K258" t="s">
        <v>68</v>
      </c>
    </row>
    <row r="259" spans="1:11" hidden="1" x14ac:dyDescent="0.25">
      <c r="A259" t="s">
        <v>5</v>
      </c>
      <c r="B259" t="s">
        <v>6</v>
      </c>
      <c r="C259" t="s">
        <v>31</v>
      </c>
      <c r="D259" t="s">
        <v>32</v>
      </c>
      <c r="E259">
        <v>2024</v>
      </c>
      <c r="F259" t="s">
        <v>86</v>
      </c>
      <c r="G259" t="s">
        <v>87</v>
      </c>
      <c r="H259" s="1">
        <v>2882.6141890138201</v>
      </c>
      <c r="I259">
        <f>_FIIPer1000[[#This Row],[No.Per1000Adults]]-H258</f>
        <v>63.241531033650062</v>
      </c>
      <c r="J259" t="s">
        <v>67</v>
      </c>
      <c r="K259" t="s">
        <v>68</v>
      </c>
    </row>
    <row r="260" spans="1:11" hidden="1" x14ac:dyDescent="0.25">
      <c r="A260" t="s">
        <v>5</v>
      </c>
      <c r="B260" t="s">
        <v>6</v>
      </c>
      <c r="C260" t="s">
        <v>41</v>
      </c>
      <c r="D260" t="s">
        <v>42</v>
      </c>
      <c r="E260">
        <v>2019</v>
      </c>
      <c r="F260" t="s">
        <v>86</v>
      </c>
      <c r="G260" t="s">
        <v>87</v>
      </c>
      <c r="J260" t="s">
        <v>67</v>
      </c>
      <c r="K260" t="s">
        <v>68</v>
      </c>
    </row>
    <row r="261" spans="1:11" hidden="1" x14ac:dyDescent="0.25">
      <c r="A261" t="s">
        <v>5</v>
      </c>
      <c r="B261" t="s">
        <v>6</v>
      </c>
      <c r="C261" t="s">
        <v>41</v>
      </c>
      <c r="D261" t="s">
        <v>42</v>
      </c>
      <c r="E261">
        <v>2020</v>
      </c>
      <c r="F261" t="s">
        <v>86</v>
      </c>
      <c r="G261" t="s">
        <v>87</v>
      </c>
      <c r="J261" t="s">
        <v>67</v>
      </c>
      <c r="K261" t="s">
        <v>68</v>
      </c>
    </row>
    <row r="262" spans="1:11" hidden="1" x14ac:dyDescent="0.25">
      <c r="A262" t="s">
        <v>5</v>
      </c>
      <c r="B262" t="s">
        <v>6</v>
      </c>
      <c r="C262" t="s">
        <v>41</v>
      </c>
      <c r="D262" t="s">
        <v>42</v>
      </c>
      <c r="E262">
        <v>2021</v>
      </c>
      <c r="F262" t="s">
        <v>86</v>
      </c>
      <c r="G262" t="s">
        <v>87</v>
      </c>
      <c r="J262" t="s">
        <v>67</v>
      </c>
      <c r="K262" t="s">
        <v>68</v>
      </c>
    </row>
    <row r="263" spans="1:11" hidden="1" x14ac:dyDescent="0.25">
      <c r="A263" t="s">
        <v>5</v>
      </c>
      <c r="B263" t="s">
        <v>6</v>
      </c>
      <c r="C263" t="s">
        <v>41</v>
      </c>
      <c r="D263" t="s">
        <v>42</v>
      </c>
      <c r="E263">
        <v>2022</v>
      </c>
      <c r="F263" t="s">
        <v>86</v>
      </c>
      <c r="G263" t="s">
        <v>87</v>
      </c>
      <c r="J263" t="s">
        <v>67</v>
      </c>
      <c r="K263" t="s">
        <v>68</v>
      </c>
    </row>
    <row r="264" spans="1:11" hidden="1" x14ac:dyDescent="0.25">
      <c r="A264" t="s">
        <v>5</v>
      </c>
      <c r="B264" t="s">
        <v>6</v>
      </c>
      <c r="C264" t="s">
        <v>41</v>
      </c>
      <c r="D264" t="s">
        <v>42</v>
      </c>
      <c r="E264">
        <v>2023</v>
      </c>
      <c r="F264" t="s">
        <v>86</v>
      </c>
      <c r="G264" t="s">
        <v>87</v>
      </c>
      <c r="J264" t="s">
        <v>67</v>
      </c>
      <c r="K264" t="s">
        <v>68</v>
      </c>
    </row>
    <row r="265" spans="1:11" hidden="1" x14ac:dyDescent="0.25">
      <c r="A265" t="s">
        <v>5</v>
      </c>
      <c r="B265" t="s">
        <v>6</v>
      </c>
      <c r="C265" t="s">
        <v>41</v>
      </c>
      <c r="D265" t="s">
        <v>42</v>
      </c>
      <c r="E265">
        <v>2024</v>
      </c>
      <c r="F265" t="s">
        <v>86</v>
      </c>
      <c r="G265" t="s">
        <v>87</v>
      </c>
      <c r="J265" t="s">
        <v>67</v>
      </c>
      <c r="K265" t="s">
        <v>68</v>
      </c>
    </row>
    <row r="266" spans="1:11" hidden="1" x14ac:dyDescent="0.25">
      <c r="A266" t="s">
        <v>45</v>
      </c>
      <c r="B266" t="s">
        <v>46</v>
      </c>
      <c r="C266" t="s">
        <v>47</v>
      </c>
      <c r="D266" t="s">
        <v>48</v>
      </c>
      <c r="E266">
        <v>2019</v>
      </c>
      <c r="F266" t="s">
        <v>86</v>
      </c>
      <c r="G266" t="s">
        <v>87</v>
      </c>
      <c r="H266" s="1">
        <v>258.621998559274</v>
      </c>
      <c r="J266" t="s">
        <v>67</v>
      </c>
      <c r="K266" t="s">
        <v>68</v>
      </c>
    </row>
    <row r="267" spans="1:11" hidden="1" x14ac:dyDescent="0.25">
      <c r="A267" t="s">
        <v>45</v>
      </c>
      <c r="B267" t="s">
        <v>46</v>
      </c>
      <c r="C267" t="s">
        <v>47</v>
      </c>
      <c r="D267" t="s">
        <v>48</v>
      </c>
      <c r="E267">
        <v>2020</v>
      </c>
      <c r="F267" t="s">
        <v>86</v>
      </c>
      <c r="G267" t="s">
        <v>87</v>
      </c>
      <c r="H267" s="1">
        <v>341.045437393741</v>
      </c>
      <c r="I267">
        <f>_FIIPer1000[[#This Row],[No.Per1000Adults]]-H266</f>
        <v>82.423438834466992</v>
      </c>
      <c r="J267" t="s">
        <v>67</v>
      </c>
      <c r="K267" t="s">
        <v>68</v>
      </c>
    </row>
    <row r="268" spans="1:11" hidden="1" x14ac:dyDescent="0.25">
      <c r="A268" t="s">
        <v>45</v>
      </c>
      <c r="B268" t="s">
        <v>46</v>
      </c>
      <c r="C268" t="s">
        <v>47</v>
      </c>
      <c r="D268" t="s">
        <v>48</v>
      </c>
      <c r="E268">
        <v>2021</v>
      </c>
      <c r="F268" t="s">
        <v>86</v>
      </c>
      <c r="G268" t="s">
        <v>87</v>
      </c>
      <c r="H268" s="1">
        <v>256.96862676624698</v>
      </c>
      <c r="I268">
        <f>_FIIPer1000[[#This Row],[No.Per1000Adults]]-H267</f>
        <v>-84.076810627494012</v>
      </c>
      <c r="J268" t="s">
        <v>67</v>
      </c>
      <c r="K268" t="s">
        <v>68</v>
      </c>
    </row>
    <row r="269" spans="1:11" hidden="1" x14ac:dyDescent="0.25">
      <c r="A269" t="s">
        <v>45</v>
      </c>
      <c r="B269" t="s">
        <v>46</v>
      </c>
      <c r="C269" t="s">
        <v>47</v>
      </c>
      <c r="D269" t="s">
        <v>48</v>
      </c>
      <c r="E269">
        <v>2022</v>
      </c>
      <c r="F269" t="s">
        <v>86</v>
      </c>
      <c r="G269" t="s">
        <v>87</v>
      </c>
      <c r="H269" s="1">
        <v>220.457660376869</v>
      </c>
      <c r="I269">
        <f>_FIIPer1000[[#This Row],[No.Per1000Adults]]-H268</f>
        <v>-36.510966389377984</v>
      </c>
      <c r="J269" t="s">
        <v>67</v>
      </c>
      <c r="K269" t="s">
        <v>68</v>
      </c>
    </row>
    <row r="270" spans="1:11" hidden="1" x14ac:dyDescent="0.25">
      <c r="A270" t="s">
        <v>45</v>
      </c>
      <c r="B270" t="s">
        <v>46</v>
      </c>
      <c r="C270" t="s">
        <v>47</v>
      </c>
      <c r="D270" t="s">
        <v>48</v>
      </c>
      <c r="E270">
        <v>2023</v>
      </c>
      <c r="F270" t="s">
        <v>86</v>
      </c>
      <c r="G270" t="s">
        <v>87</v>
      </c>
      <c r="H270" s="1">
        <v>261.83010239944298</v>
      </c>
      <c r="I270">
        <f>_FIIPer1000[[#This Row],[No.Per1000Adults]]-H269</f>
        <v>41.372442022573978</v>
      </c>
      <c r="J270" t="s">
        <v>67</v>
      </c>
      <c r="K270" t="s">
        <v>68</v>
      </c>
    </row>
    <row r="271" spans="1:11" hidden="1" x14ac:dyDescent="0.25">
      <c r="A271" t="s">
        <v>45</v>
      </c>
      <c r="B271" t="s">
        <v>46</v>
      </c>
      <c r="C271" t="s">
        <v>47</v>
      </c>
      <c r="D271" t="s">
        <v>48</v>
      </c>
      <c r="E271">
        <v>2024</v>
      </c>
      <c r="F271" t="s">
        <v>86</v>
      </c>
      <c r="G271" t="s">
        <v>87</v>
      </c>
      <c r="H271" s="1">
        <v>266.08390471160499</v>
      </c>
      <c r="I271">
        <f>_FIIPer1000[[#This Row],[No.Per1000Adults]]-H270</f>
        <v>4.2538023121620085</v>
      </c>
      <c r="J271" t="s">
        <v>67</v>
      </c>
      <c r="K271" t="s">
        <v>68</v>
      </c>
    </row>
    <row r="272" spans="1:11" hidden="1" x14ac:dyDescent="0.25">
      <c r="A272" t="s">
        <v>45</v>
      </c>
      <c r="B272" t="s">
        <v>46</v>
      </c>
      <c r="C272" t="s">
        <v>49</v>
      </c>
      <c r="D272" t="s">
        <v>50</v>
      </c>
      <c r="E272">
        <v>2019</v>
      </c>
      <c r="F272" t="s">
        <v>86</v>
      </c>
      <c r="G272" t="s">
        <v>87</v>
      </c>
      <c r="H272" s="1">
        <v>235.791106779453</v>
      </c>
      <c r="J272" t="s">
        <v>67</v>
      </c>
      <c r="K272" t="s">
        <v>68</v>
      </c>
    </row>
    <row r="273" spans="1:11" hidden="1" x14ac:dyDescent="0.25">
      <c r="A273" t="s">
        <v>45</v>
      </c>
      <c r="B273" t="s">
        <v>46</v>
      </c>
      <c r="C273" t="s">
        <v>49</v>
      </c>
      <c r="D273" t="s">
        <v>50</v>
      </c>
      <c r="E273">
        <v>2020</v>
      </c>
      <c r="F273" t="s">
        <v>86</v>
      </c>
      <c r="G273" t="s">
        <v>87</v>
      </c>
      <c r="H273" s="1">
        <v>309.40465795387797</v>
      </c>
      <c r="I273">
        <f>_FIIPer1000[[#This Row],[No.Per1000Adults]]-H272</f>
        <v>73.61355117442497</v>
      </c>
      <c r="J273" t="s">
        <v>67</v>
      </c>
      <c r="K273" t="s">
        <v>68</v>
      </c>
    </row>
    <row r="274" spans="1:11" hidden="1" x14ac:dyDescent="0.25">
      <c r="A274" t="s">
        <v>45</v>
      </c>
      <c r="B274" t="s">
        <v>46</v>
      </c>
      <c r="C274" t="s">
        <v>49</v>
      </c>
      <c r="D274" t="s">
        <v>50</v>
      </c>
      <c r="E274">
        <v>2021</v>
      </c>
      <c r="F274" t="s">
        <v>86</v>
      </c>
      <c r="G274" t="s">
        <v>87</v>
      </c>
      <c r="H274" s="1">
        <v>300.61563943398102</v>
      </c>
      <c r="I274">
        <f>_FIIPer1000[[#This Row],[No.Per1000Adults]]-H273</f>
        <v>-8.7890185198969561</v>
      </c>
      <c r="J274" t="s">
        <v>67</v>
      </c>
      <c r="K274" t="s">
        <v>68</v>
      </c>
    </row>
    <row r="275" spans="1:11" hidden="1" x14ac:dyDescent="0.25">
      <c r="A275" t="s">
        <v>45</v>
      </c>
      <c r="B275" t="s">
        <v>46</v>
      </c>
      <c r="C275" t="s">
        <v>49</v>
      </c>
      <c r="D275" t="s">
        <v>50</v>
      </c>
      <c r="E275">
        <v>2022</v>
      </c>
      <c r="F275" t="s">
        <v>86</v>
      </c>
      <c r="G275" t="s">
        <v>87</v>
      </c>
      <c r="H275" s="1">
        <v>308.05010758685501</v>
      </c>
      <c r="I275">
        <f>_FIIPer1000[[#This Row],[No.Per1000Adults]]-H274</f>
        <v>7.4344681528739898</v>
      </c>
      <c r="J275" t="s">
        <v>67</v>
      </c>
      <c r="K275" t="s">
        <v>68</v>
      </c>
    </row>
    <row r="276" spans="1:11" hidden="1" x14ac:dyDescent="0.25">
      <c r="A276" t="s">
        <v>45</v>
      </c>
      <c r="B276" t="s">
        <v>46</v>
      </c>
      <c r="C276" t="s">
        <v>49</v>
      </c>
      <c r="D276" t="s">
        <v>50</v>
      </c>
      <c r="E276">
        <v>2023</v>
      </c>
      <c r="F276" t="s">
        <v>86</v>
      </c>
      <c r="G276" t="s">
        <v>87</v>
      </c>
      <c r="H276" s="1">
        <v>366.45289030933901</v>
      </c>
      <c r="I276">
        <f>_FIIPer1000[[#This Row],[No.Per1000Adults]]-H275</f>
        <v>58.402782722484005</v>
      </c>
      <c r="J276" t="s">
        <v>67</v>
      </c>
      <c r="K276" t="s">
        <v>68</v>
      </c>
    </row>
    <row r="277" spans="1:11" hidden="1" x14ac:dyDescent="0.25">
      <c r="A277" t="s">
        <v>45</v>
      </c>
      <c r="B277" t="s">
        <v>46</v>
      </c>
      <c r="C277" t="s">
        <v>49</v>
      </c>
      <c r="D277" t="s">
        <v>50</v>
      </c>
      <c r="E277">
        <v>2024</v>
      </c>
      <c r="F277" t="s">
        <v>86</v>
      </c>
      <c r="G277" t="s">
        <v>87</v>
      </c>
      <c r="H277" s="1">
        <v>404.09196095172598</v>
      </c>
      <c r="I277">
        <f>_FIIPer1000[[#This Row],[No.Per1000Adults]]-H276</f>
        <v>37.639070642386969</v>
      </c>
      <c r="J277" t="s">
        <v>67</v>
      </c>
      <c r="K277" t="s">
        <v>68</v>
      </c>
    </row>
    <row r="278" spans="1:11" hidden="1" x14ac:dyDescent="0.25">
      <c r="A278" t="s">
        <v>45</v>
      </c>
      <c r="B278" t="s">
        <v>46</v>
      </c>
      <c r="C278" t="s">
        <v>51</v>
      </c>
      <c r="D278" t="s">
        <v>52</v>
      </c>
      <c r="E278">
        <v>2019</v>
      </c>
      <c r="F278" t="s">
        <v>86</v>
      </c>
      <c r="G278" t="s">
        <v>87</v>
      </c>
      <c r="J278" t="s">
        <v>67</v>
      </c>
      <c r="K278" t="s">
        <v>68</v>
      </c>
    </row>
    <row r="279" spans="1:11" hidden="1" x14ac:dyDescent="0.25">
      <c r="A279" t="s">
        <v>45</v>
      </c>
      <c r="B279" t="s">
        <v>46</v>
      </c>
      <c r="C279" t="s">
        <v>51</v>
      </c>
      <c r="D279" t="s">
        <v>52</v>
      </c>
      <c r="E279">
        <v>2020</v>
      </c>
      <c r="F279" t="s">
        <v>86</v>
      </c>
      <c r="G279" t="s">
        <v>87</v>
      </c>
      <c r="J279" t="s">
        <v>67</v>
      </c>
      <c r="K279" t="s">
        <v>68</v>
      </c>
    </row>
    <row r="280" spans="1:11" hidden="1" x14ac:dyDescent="0.25">
      <c r="A280" t="s">
        <v>45</v>
      </c>
      <c r="B280" t="s">
        <v>46</v>
      </c>
      <c r="C280" t="s">
        <v>51</v>
      </c>
      <c r="D280" t="s">
        <v>52</v>
      </c>
      <c r="E280">
        <v>2021</v>
      </c>
      <c r="F280" t="s">
        <v>86</v>
      </c>
      <c r="G280" t="s">
        <v>87</v>
      </c>
      <c r="J280" t="s">
        <v>67</v>
      </c>
      <c r="K280" t="s">
        <v>68</v>
      </c>
    </row>
    <row r="281" spans="1:11" hidden="1" x14ac:dyDescent="0.25">
      <c r="A281" t="s">
        <v>45</v>
      </c>
      <c r="B281" t="s">
        <v>46</v>
      </c>
      <c r="C281" t="s">
        <v>51</v>
      </c>
      <c r="D281" t="s">
        <v>52</v>
      </c>
      <c r="E281">
        <v>2022</v>
      </c>
      <c r="F281" t="s">
        <v>86</v>
      </c>
      <c r="G281" t="s">
        <v>87</v>
      </c>
      <c r="J281" t="s">
        <v>67</v>
      </c>
      <c r="K281" t="s">
        <v>68</v>
      </c>
    </row>
    <row r="282" spans="1:11" hidden="1" x14ac:dyDescent="0.25">
      <c r="A282" t="s">
        <v>45</v>
      </c>
      <c r="B282" t="s">
        <v>46</v>
      </c>
      <c r="C282" t="s">
        <v>51</v>
      </c>
      <c r="D282" t="s">
        <v>52</v>
      </c>
      <c r="E282">
        <v>2023</v>
      </c>
      <c r="F282" t="s">
        <v>86</v>
      </c>
      <c r="G282" t="s">
        <v>87</v>
      </c>
      <c r="J282" t="s">
        <v>67</v>
      </c>
      <c r="K282" t="s">
        <v>68</v>
      </c>
    </row>
    <row r="283" spans="1:11" hidden="1" x14ac:dyDescent="0.25">
      <c r="A283" t="s">
        <v>45</v>
      </c>
      <c r="B283" t="s">
        <v>46</v>
      </c>
      <c r="C283" t="s">
        <v>51</v>
      </c>
      <c r="D283" t="s">
        <v>52</v>
      </c>
      <c r="E283">
        <v>2024</v>
      </c>
      <c r="F283" t="s">
        <v>86</v>
      </c>
      <c r="G283" t="s">
        <v>87</v>
      </c>
      <c r="J283" t="s">
        <v>67</v>
      </c>
      <c r="K283" t="s">
        <v>68</v>
      </c>
    </row>
    <row r="284" spans="1:11" hidden="1" x14ac:dyDescent="0.25">
      <c r="A284" t="s">
        <v>45</v>
      </c>
      <c r="B284" t="s">
        <v>46</v>
      </c>
      <c r="C284" t="s">
        <v>53</v>
      </c>
      <c r="D284" t="s">
        <v>54</v>
      </c>
      <c r="E284">
        <v>2019</v>
      </c>
      <c r="F284" t="s">
        <v>86</v>
      </c>
      <c r="G284" t="s">
        <v>87</v>
      </c>
      <c r="J284" t="s">
        <v>67</v>
      </c>
      <c r="K284" t="s">
        <v>68</v>
      </c>
    </row>
    <row r="285" spans="1:11" hidden="1" x14ac:dyDescent="0.25">
      <c r="A285" t="s">
        <v>45</v>
      </c>
      <c r="B285" t="s">
        <v>46</v>
      </c>
      <c r="C285" t="s">
        <v>53</v>
      </c>
      <c r="D285" t="s">
        <v>54</v>
      </c>
      <c r="E285">
        <v>2020</v>
      </c>
      <c r="F285" t="s">
        <v>86</v>
      </c>
      <c r="G285" t="s">
        <v>87</v>
      </c>
      <c r="J285" t="s">
        <v>67</v>
      </c>
      <c r="K285" t="s">
        <v>68</v>
      </c>
    </row>
    <row r="286" spans="1:11" hidden="1" x14ac:dyDescent="0.25">
      <c r="A286" t="s">
        <v>45</v>
      </c>
      <c r="B286" t="s">
        <v>46</v>
      </c>
      <c r="C286" t="s">
        <v>53</v>
      </c>
      <c r="D286" t="s">
        <v>54</v>
      </c>
      <c r="E286">
        <v>2021</v>
      </c>
      <c r="F286" t="s">
        <v>86</v>
      </c>
      <c r="G286" t="s">
        <v>87</v>
      </c>
      <c r="J286" t="s">
        <v>67</v>
      </c>
      <c r="K286" t="s">
        <v>68</v>
      </c>
    </row>
    <row r="287" spans="1:11" hidden="1" x14ac:dyDescent="0.25">
      <c r="A287" t="s">
        <v>45</v>
      </c>
      <c r="B287" t="s">
        <v>46</v>
      </c>
      <c r="C287" t="s">
        <v>53</v>
      </c>
      <c r="D287" t="s">
        <v>54</v>
      </c>
      <c r="E287">
        <v>2022</v>
      </c>
      <c r="F287" t="s">
        <v>86</v>
      </c>
      <c r="G287" t="s">
        <v>87</v>
      </c>
      <c r="J287" t="s">
        <v>67</v>
      </c>
      <c r="K287" t="s">
        <v>68</v>
      </c>
    </row>
    <row r="288" spans="1:11" hidden="1" x14ac:dyDescent="0.25">
      <c r="A288" t="s">
        <v>45</v>
      </c>
      <c r="B288" t="s">
        <v>46</v>
      </c>
      <c r="C288" t="s">
        <v>53</v>
      </c>
      <c r="D288" t="s">
        <v>54</v>
      </c>
      <c r="E288">
        <v>2023</v>
      </c>
      <c r="F288" t="s">
        <v>86</v>
      </c>
      <c r="G288" t="s">
        <v>87</v>
      </c>
      <c r="J288" t="s">
        <v>67</v>
      </c>
      <c r="K288" t="s">
        <v>68</v>
      </c>
    </row>
    <row r="289" spans="1:11" hidden="1" x14ac:dyDescent="0.25">
      <c r="A289" t="s">
        <v>45</v>
      </c>
      <c r="B289" t="s">
        <v>46</v>
      </c>
      <c r="C289" t="s">
        <v>53</v>
      </c>
      <c r="D289" t="s">
        <v>54</v>
      </c>
      <c r="E289">
        <v>2024</v>
      </c>
      <c r="F289" t="s">
        <v>86</v>
      </c>
      <c r="G289" t="s">
        <v>87</v>
      </c>
      <c r="J289" t="s">
        <v>67</v>
      </c>
      <c r="K289" t="s">
        <v>68</v>
      </c>
    </row>
    <row r="290" spans="1:11" hidden="1" x14ac:dyDescent="0.25">
      <c r="A290" t="s">
        <v>45</v>
      </c>
      <c r="B290" t="s">
        <v>46</v>
      </c>
      <c r="C290" t="s">
        <v>7</v>
      </c>
      <c r="D290" t="s">
        <v>8</v>
      </c>
      <c r="E290">
        <v>2019</v>
      </c>
      <c r="F290" t="s">
        <v>86</v>
      </c>
      <c r="G290" t="s">
        <v>87</v>
      </c>
      <c r="H290" s="3">
        <v>136.26369855403999</v>
      </c>
      <c r="J290" t="s">
        <v>67</v>
      </c>
      <c r="K290" t="s">
        <v>68</v>
      </c>
    </row>
    <row r="291" spans="1:11" hidden="1" x14ac:dyDescent="0.25">
      <c r="A291" t="s">
        <v>45</v>
      </c>
      <c r="B291" t="s">
        <v>46</v>
      </c>
      <c r="C291" t="s">
        <v>7</v>
      </c>
      <c r="D291" t="s">
        <v>8</v>
      </c>
      <c r="E291">
        <v>2020</v>
      </c>
      <c r="F291" t="s">
        <v>86</v>
      </c>
      <c r="G291" t="s">
        <v>87</v>
      </c>
      <c r="H291" s="3">
        <v>130.453544697713</v>
      </c>
      <c r="I291">
        <f>_FIIPer1000[[#This Row],[No.Per1000Adults]]-H290</f>
        <v>-5.8101538563269912</v>
      </c>
      <c r="J291" t="s">
        <v>67</v>
      </c>
      <c r="K291" t="s">
        <v>68</v>
      </c>
    </row>
    <row r="292" spans="1:11" hidden="1" x14ac:dyDescent="0.25">
      <c r="A292" t="s">
        <v>45</v>
      </c>
      <c r="B292" t="s">
        <v>46</v>
      </c>
      <c r="C292" t="s">
        <v>7</v>
      </c>
      <c r="D292" t="s">
        <v>8</v>
      </c>
      <c r="E292">
        <v>2021</v>
      </c>
      <c r="F292" t="s">
        <v>86</v>
      </c>
      <c r="G292" t="s">
        <v>87</v>
      </c>
      <c r="H292" s="3">
        <v>127.026376257659</v>
      </c>
      <c r="I292">
        <f>_FIIPer1000[[#This Row],[No.Per1000Adults]]-H291</f>
        <v>-3.4271684400540039</v>
      </c>
      <c r="J292" t="s">
        <v>67</v>
      </c>
      <c r="K292" t="s">
        <v>68</v>
      </c>
    </row>
    <row r="293" spans="1:11" hidden="1" x14ac:dyDescent="0.25">
      <c r="A293" t="s">
        <v>45</v>
      </c>
      <c r="B293" t="s">
        <v>46</v>
      </c>
      <c r="C293" t="s">
        <v>7</v>
      </c>
      <c r="D293" t="s">
        <v>8</v>
      </c>
      <c r="E293">
        <v>2022</v>
      </c>
      <c r="F293" t="s">
        <v>86</v>
      </c>
      <c r="G293" t="s">
        <v>87</v>
      </c>
      <c r="H293" s="3">
        <v>137.61373519990599</v>
      </c>
      <c r="I293">
        <f>_FIIPer1000[[#This Row],[No.Per1000Adults]]-H292</f>
        <v>10.587358942246993</v>
      </c>
      <c r="J293" t="s">
        <v>67</v>
      </c>
      <c r="K293" t="s">
        <v>68</v>
      </c>
    </row>
    <row r="294" spans="1:11" hidden="1" x14ac:dyDescent="0.25">
      <c r="A294" t="s">
        <v>45</v>
      </c>
      <c r="B294" t="s">
        <v>46</v>
      </c>
      <c r="C294" t="s">
        <v>7</v>
      </c>
      <c r="D294" t="s">
        <v>8</v>
      </c>
      <c r="E294">
        <v>2023</v>
      </c>
      <c r="F294" t="s">
        <v>86</v>
      </c>
      <c r="G294" t="s">
        <v>87</v>
      </c>
      <c r="H294" s="3">
        <v>145.337387137978</v>
      </c>
      <c r="I294">
        <f>_FIIPer1000[[#This Row],[No.Per1000Adults]]-H293</f>
        <v>7.7236519380720097</v>
      </c>
      <c r="J294" t="s">
        <v>67</v>
      </c>
      <c r="K294" t="s">
        <v>68</v>
      </c>
    </row>
    <row r="295" spans="1:11" hidden="1" x14ac:dyDescent="0.25">
      <c r="A295" t="s">
        <v>45</v>
      </c>
      <c r="B295" t="s">
        <v>46</v>
      </c>
      <c r="C295" t="s">
        <v>7</v>
      </c>
      <c r="D295" t="s">
        <v>8</v>
      </c>
      <c r="E295">
        <v>2024</v>
      </c>
      <c r="F295" t="s">
        <v>86</v>
      </c>
      <c r="G295" t="s">
        <v>87</v>
      </c>
      <c r="H295" s="3">
        <v>150.67952280980199</v>
      </c>
      <c r="I295">
        <f>_FIIPer1000[[#This Row],[No.Per1000Adults]]-H294</f>
        <v>5.3421356718239963</v>
      </c>
      <c r="J295" t="s">
        <v>67</v>
      </c>
      <c r="K295" t="s">
        <v>68</v>
      </c>
    </row>
    <row r="296" spans="1:11" hidden="1" x14ac:dyDescent="0.25">
      <c r="A296" t="s">
        <v>45</v>
      </c>
      <c r="B296" t="s">
        <v>46</v>
      </c>
      <c r="C296" t="s">
        <v>55</v>
      </c>
      <c r="D296" t="s">
        <v>56</v>
      </c>
      <c r="E296">
        <v>2019</v>
      </c>
      <c r="F296" t="s">
        <v>86</v>
      </c>
      <c r="G296" t="s">
        <v>87</v>
      </c>
      <c r="H296" s="1">
        <v>542.69201622453795</v>
      </c>
      <c r="J296" t="s">
        <v>67</v>
      </c>
      <c r="K296" t="s">
        <v>68</v>
      </c>
    </row>
    <row r="297" spans="1:11" hidden="1" x14ac:dyDescent="0.25">
      <c r="A297" t="s">
        <v>45</v>
      </c>
      <c r="B297" t="s">
        <v>46</v>
      </c>
      <c r="C297" t="s">
        <v>55</v>
      </c>
      <c r="D297" t="s">
        <v>56</v>
      </c>
      <c r="E297">
        <v>2020</v>
      </c>
      <c r="F297" t="s">
        <v>86</v>
      </c>
      <c r="G297" t="s">
        <v>87</v>
      </c>
      <c r="H297" s="1">
        <v>527.70141849372305</v>
      </c>
      <c r="I297">
        <f>_FIIPer1000[[#This Row],[No.Per1000Adults]]-H296</f>
        <v>-14.990597730814898</v>
      </c>
      <c r="J297" t="s">
        <v>67</v>
      </c>
      <c r="K297" t="s">
        <v>68</v>
      </c>
    </row>
    <row r="298" spans="1:11" hidden="1" x14ac:dyDescent="0.25">
      <c r="A298" t="s">
        <v>45</v>
      </c>
      <c r="B298" t="s">
        <v>46</v>
      </c>
      <c r="C298" t="s">
        <v>55</v>
      </c>
      <c r="D298" t="s">
        <v>56</v>
      </c>
      <c r="E298">
        <v>2021</v>
      </c>
      <c r="F298" t="s">
        <v>86</v>
      </c>
      <c r="G298" t="s">
        <v>87</v>
      </c>
      <c r="H298" s="1">
        <v>517.02788233854903</v>
      </c>
      <c r="I298">
        <f>_FIIPer1000[[#This Row],[No.Per1000Adults]]-H297</f>
        <v>-10.67353615517402</v>
      </c>
      <c r="J298" t="s">
        <v>67</v>
      </c>
      <c r="K298" t="s">
        <v>68</v>
      </c>
    </row>
    <row r="299" spans="1:11" hidden="1" x14ac:dyDescent="0.25">
      <c r="A299" t="s">
        <v>45</v>
      </c>
      <c r="B299" t="s">
        <v>46</v>
      </c>
      <c r="C299" t="s">
        <v>55</v>
      </c>
      <c r="D299" t="s">
        <v>56</v>
      </c>
      <c r="E299">
        <v>2022</v>
      </c>
      <c r="F299" t="s">
        <v>86</v>
      </c>
      <c r="G299" t="s">
        <v>87</v>
      </c>
      <c r="H299" s="1">
        <v>525.37958219896996</v>
      </c>
      <c r="I299">
        <f>_FIIPer1000[[#This Row],[No.Per1000Adults]]-H298</f>
        <v>8.3516998604209221</v>
      </c>
      <c r="J299" t="s">
        <v>67</v>
      </c>
      <c r="K299" t="s">
        <v>68</v>
      </c>
    </row>
    <row r="300" spans="1:11" hidden="1" x14ac:dyDescent="0.25">
      <c r="A300" s="6" t="s">
        <v>45</v>
      </c>
      <c r="B300" s="6" t="s">
        <v>46</v>
      </c>
      <c r="C300" s="6" t="s">
        <v>55</v>
      </c>
      <c r="D300" s="6" t="s">
        <v>56</v>
      </c>
      <c r="E300" s="6">
        <v>2023</v>
      </c>
      <c r="F300" s="6" t="s">
        <v>86</v>
      </c>
      <c r="G300" s="6" t="s">
        <v>87</v>
      </c>
      <c r="H300" s="7">
        <v>547.68428582583704</v>
      </c>
      <c r="I300" s="6">
        <f>_FIIPer1000[[#This Row],[No.Per1000Adults]]-H299</f>
        <v>22.304703626867081</v>
      </c>
      <c r="J300" s="6" t="s">
        <v>67</v>
      </c>
      <c r="K300" s="6" t="s">
        <v>68</v>
      </c>
    </row>
    <row r="301" spans="1:11" hidden="1" x14ac:dyDescent="0.25">
      <c r="A301" s="4" t="s">
        <v>45</v>
      </c>
      <c r="B301" s="4" t="s">
        <v>46</v>
      </c>
      <c r="C301" s="4" t="s">
        <v>55</v>
      </c>
      <c r="D301" s="4" t="s">
        <v>56</v>
      </c>
      <c r="E301" s="4">
        <v>2024</v>
      </c>
      <c r="F301" s="4" t="s">
        <v>86</v>
      </c>
      <c r="G301" s="4" t="s">
        <v>87</v>
      </c>
      <c r="H301" s="5"/>
      <c r="I301" s="4"/>
      <c r="J301" s="4" t="s">
        <v>67</v>
      </c>
      <c r="K301" s="4" t="s">
        <v>68</v>
      </c>
    </row>
    <row r="302" spans="1:11" hidden="1" x14ac:dyDescent="0.25">
      <c r="A302" t="s">
        <v>5</v>
      </c>
      <c r="B302" t="s">
        <v>6</v>
      </c>
      <c r="C302" t="s">
        <v>9</v>
      </c>
      <c r="D302" t="s">
        <v>10</v>
      </c>
      <c r="E302">
        <v>2019</v>
      </c>
      <c r="F302" t="s">
        <v>88</v>
      </c>
      <c r="G302" t="s">
        <v>89</v>
      </c>
      <c r="H302" s="1">
        <v>1422.2849548044101</v>
      </c>
      <c r="J302" t="s">
        <v>67</v>
      </c>
      <c r="K302" t="s">
        <v>68</v>
      </c>
    </row>
    <row r="303" spans="1:11" hidden="1" x14ac:dyDescent="0.25">
      <c r="A303" t="s">
        <v>5</v>
      </c>
      <c r="B303" t="s">
        <v>6</v>
      </c>
      <c r="C303" t="s">
        <v>9</v>
      </c>
      <c r="D303" t="s">
        <v>10</v>
      </c>
      <c r="E303">
        <v>2020</v>
      </c>
      <c r="F303" t="s">
        <v>88</v>
      </c>
      <c r="G303" t="s">
        <v>89</v>
      </c>
      <c r="H303" s="1">
        <v>1656.67173599583</v>
      </c>
      <c r="I303">
        <f>_FIIPer1000[[#This Row],[No.Per1000Adults]]-H302</f>
        <v>234.38678119141991</v>
      </c>
      <c r="J303" t="s">
        <v>67</v>
      </c>
      <c r="K303" t="s">
        <v>68</v>
      </c>
    </row>
    <row r="304" spans="1:11" hidden="1" x14ac:dyDescent="0.25">
      <c r="A304" t="s">
        <v>5</v>
      </c>
      <c r="B304" t="s">
        <v>6</v>
      </c>
      <c r="C304" t="s">
        <v>9</v>
      </c>
      <c r="D304" t="s">
        <v>10</v>
      </c>
      <c r="E304">
        <v>2021</v>
      </c>
      <c r="F304" t="s">
        <v>88</v>
      </c>
      <c r="G304" t="s">
        <v>89</v>
      </c>
      <c r="H304" s="1">
        <v>1877.2250844079299</v>
      </c>
      <c r="I304">
        <f>_FIIPer1000[[#This Row],[No.Per1000Adults]]-H303</f>
        <v>220.55334841209992</v>
      </c>
      <c r="J304" t="s">
        <v>67</v>
      </c>
      <c r="K304" t="s">
        <v>68</v>
      </c>
    </row>
    <row r="305" spans="1:11" hidden="1" x14ac:dyDescent="0.25">
      <c r="A305" t="s">
        <v>5</v>
      </c>
      <c r="B305" t="s">
        <v>6</v>
      </c>
      <c r="C305" t="s">
        <v>9</v>
      </c>
      <c r="D305" t="s">
        <v>10</v>
      </c>
      <c r="E305">
        <v>2022</v>
      </c>
      <c r="F305" t="s">
        <v>88</v>
      </c>
      <c r="G305" t="s">
        <v>89</v>
      </c>
      <c r="H305" s="1">
        <v>2224.4850710722399</v>
      </c>
      <c r="I305">
        <f>_FIIPer1000[[#This Row],[No.Per1000Adults]]-H304</f>
        <v>347.25998666430996</v>
      </c>
      <c r="J305" t="s">
        <v>67</v>
      </c>
      <c r="K305" t="s">
        <v>68</v>
      </c>
    </row>
    <row r="306" spans="1:11" hidden="1" x14ac:dyDescent="0.25">
      <c r="A306" t="s">
        <v>5</v>
      </c>
      <c r="B306" t="s">
        <v>6</v>
      </c>
      <c r="C306" t="s">
        <v>9</v>
      </c>
      <c r="D306" t="s">
        <v>10</v>
      </c>
      <c r="E306">
        <v>2023</v>
      </c>
      <c r="F306" t="s">
        <v>88</v>
      </c>
      <c r="G306" t="s">
        <v>89</v>
      </c>
      <c r="H306" s="1">
        <v>2229.49517982209</v>
      </c>
      <c r="I306">
        <f>_FIIPer1000[[#This Row],[No.Per1000Adults]]-H305</f>
        <v>5.0101087498501329</v>
      </c>
      <c r="J306" t="s">
        <v>67</v>
      </c>
      <c r="K306" t="s">
        <v>68</v>
      </c>
    </row>
    <row r="307" spans="1:11" hidden="1" x14ac:dyDescent="0.25">
      <c r="A307" t="s">
        <v>5</v>
      </c>
      <c r="B307" t="s">
        <v>6</v>
      </c>
      <c r="C307" t="s">
        <v>9</v>
      </c>
      <c r="D307" t="s">
        <v>10</v>
      </c>
      <c r="E307">
        <v>2024</v>
      </c>
      <c r="F307" t="s">
        <v>88</v>
      </c>
      <c r="G307" t="s">
        <v>89</v>
      </c>
      <c r="H307" s="1">
        <v>2429.38700738734</v>
      </c>
      <c r="I307">
        <f>_FIIPer1000[[#This Row],[No.Per1000Adults]]-H306</f>
        <v>199.89182756524997</v>
      </c>
      <c r="J307" t="s">
        <v>67</v>
      </c>
      <c r="K307" t="s">
        <v>68</v>
      </c>
    </row>
    <row r="308" spans="1:11" hidden="1" x14ac:dyDescent="0.25">
      <c r="A308" t="s">
        <v>5</v>
      </c>
      <c r="B308" t="s">
        <v>6</v>
      </c>
      <c r="C308" t="s">
        <v>11</v>
      </c>
      <c r="D308" t="s">
        <v>12</v>
      </c>
      <c r="E308">
        <v>2019</v>
      </c>
      <c r="F308" t="s">
        <v>88</v>
      </c>
      <c r="G308" t="s">
        <v>89</v>
      </c>
      <c r="H308" s="1">
        <v>1922.55558922256</v>
      </c>
      <c r="J308" t="s">
        <v>67</v>
      </c>
      <c r="K308" t="s">
        <v>68</v>
      </c>
    </row>
    <row r="309" spans="1:11" hidden="1" x14ac:dyDescent="0.25">
      <c r="A309" t="s">
        <v>5</v>
      </c>
      <c r="B309" t="s">
        <v>6</v>
      </c>
      <c r="C309" t="s">
        <v>11</v>
      </c>
      <c r="D309" t="s">
        <v>12</v>
      </c>
      <c r="E309">
        <v>2020</v>
      </c>
      <c r="F309" t="s">
        <v>88</v>
      </c>
      <c r="G309" t="s">
        <v>89</v>
      </c>
      <c r="H309" s="1">
        <v>1937.59609804708</v>
      </c>
      <c r="I309">
        <f>_FIIPer1000[[#This Row],[No.Per1000Adults]]-H308</f>
        <v>15.040508824519975</v>
      </c>
      <c r="J309" t="s">
        <v>67</v>
      </c>
      <c r="K309" t="s">
        <v>68</v>
      </c>
    </row>
    <row r="310" spans="1:11" hidden="1" x14ac:dyDescent="0.25">
      <c r="A310" t="s">
        <v>5</v>
      </c>
      <c r="B310" t="s">
        <v>6</v>
      </c>
      <c r="C310" t="s">
        <v>11</v>
      </c>
      <c r="D310" t="s">
        <v>12</v>
      </c>
      <c r="E310">
        <v>2021</v>
      </c>
      <c r="F310" t="s">
        <v>88</v>
      </c>
      <c r="G310" t="s">
        <v>89</v>
      </c>
      <c r="H310" s="1">
        <v>2016.7218243104301</v>
      </c>
      <c r="I310">
        <f>_FIIPer1000[[#This Row],[No.Per1000Adults]]-H309</f>
        <v>79.125726263350089</v>
      </c>
      <c r="J310" t="s">
        <v>67</v>
      </c>
      <c r="K310" t="s">
        <v>68</v>
      </c>
    </row>
    <row r="311" spans="1:11" hidden="1" x14ac:dyDescent="0.25">
      <c r="A311" t="s">
        <v>5</v>
      </c>
      <c r="B311" t="s">
        <v>6</v>
      </c>
      <c r="C311" t="s">
        <v>11</v>
      </c>
      <c r="D311" t="s">
        <v>12</v>
      </c>
      <c r="E311">
        <v>2022</v>
      </c>
      <c r="F311" t="s">
        <v>88</v>
      </c>
      <c r="G311" t="s">
        <v>89</v>
      </c>
      <c r="H311" s="1">
        <v>2063.38106635038</v>
      </c>
      <c r="I311">
        <f>_FIIPer1000[[#This Row],[No.Per1000Adults]]-H310</f>
        <v>46.659242039949959</v>
      </c>
      <c r="J311" t="s">
        <v>67</v>
      </c>
      <c r="K311" t="s">
        <v>68</v>
      </c>
    </row>
    <row r="312" spans="1:11" hidden="1" x14ac:dyDescent="0.25">
      <c r="A312" t="s">
        <v>5</v>
      </c>
      <c r="B312" t="s">
        <v>6</v>
      </c>
      <c r="C312" t="s">
        <v>11</v>
      </c>
      <c r="D312" t="s">
        <v>12</v>
      </c>
      <c r="E312">
        <v>2023</v>
      </c>
      <c r="F312" t="s">
        <v>88</v>
      </c>
      <c r="G312" t="s">
        <v>89</v>
      </c>
      <c r="H312" s="1">
        <v>2125.83142210495</v>
      </c>
      <c r="I312">
        <f>_FIIPer1000[[#This Row],[No.Per1000Adults]]-H311</f>
        <v>62.450355754569955</v>
      </c>
      <c r="J312" t="s">
        <v>67</v>
      </c>
      <c r="K312" t="s">
        <v>68</v>
      </c>
    </row>
    <row r="313" spans="1:11" hidden="1" x14ac:dyDescent="0.25">
      <c r="A313" t="s">
        <v>5</v>
      </c>
      <c r="B313" t="s">
        <v>6</v>
      </c>
      <c r="C313" t="s">
        <v>11</v>
      </c>
      <c r="D313" t="s">
        <v>12</v>
      </c>
      <c r="E313">
        <v>2024</v>
      </c>
      <c r="F313" t="s">
        <v>88</v>
      </c>
      <c r="G313" t="s">
        <v>89</v>
      </c>
      <c r="H313" s="1">
        <v>2181.0942148008899</v>
      </c>
      <c r="I313">
        <f>_FIIPer1000[[#This Row],[No.Per1000Adults]]-H312</f>
        <v>55.262792695939879</v>
      </c>
      <c r="J313" t="s">
        <v>67</v>
      </c>
      <c r="K313" t="s">
        <v>68</v>
      </c>
    </row>
    <row r="314" spans="1:11" hidden="1" x14ac:dyDescent="0.25">
      <c r="A314" t="s">
        <v>5</v>
      </c>
      <c r="B314" t="s">
        <v>6</v>
      </c>
      <c r="C314" t="s">
        <v>13</v>
      </c>
      <c r="D314" t="s">
        <v>14</v>
      </c>
      <c r="E314">
        <v>2019</v>
      </c>
      <c r="F314" t="s">
        <v>88</v>
      </c>
      <c r="G314" t="s">
        <v>89</v>
      </c>
      <c r="H314" s="1">
        <v>808.08100459212005</v>
      </c>
      <c r="J314" t="s">
        <v>67</v>
      </c>
      <c r="K314" t="s">
        <v>68</v>
      </c>
    </row>
    <row r="315" spans="1:11" hidden="1" x14ac:dyDescent="0.25">
      <c r="A315" t="s">
        <v>5</v>
      </c>
      <c r="B315" t="s">
        <v>6</v>
      </c>
      <c r="C315" t="s">
        <v>13</v>
      </c>
      <c r="D315" t="s">
        <v>14</v>
      </c>
      <c r="E315">
        <v>2020</v>
      </c>
      <c r="F315" t="s">
        <v>88</v>
      </c>
      <c r="G315" t="s">
        <v>89</v>
      </c>
      <c r="H315" s="1">
        <v>1078.0614271770501</v>
      </c>
      <c r="I315">
        <f>_FIIPer1000[[#This Row],[No.Per1000Adults]]-H314</f>
        <v>269.98042258493001</v>
      </c>
      <c r="J315" t="s">
        <v>67</v>
      </c>
      <c r="K315" t="s">
        <v>68</v>
      </c>
    </row>
    <row r="316" spans="1:11" hidden="1" x14ac:dyDescent="0.25">
      <c r="A316" t="s">
        <v>5</v>
      </c>
      <c r="B316" t="s">
        <v>6</v>
      </c>
      <c r="C316" t="s">
        <v>13</v>
      </c>
      <c r="D316" t="s">
        <v>14</v>
      </c>
      <c r="E316">
        <v>2021</v>
      </c>
      <c r="F316" t="s">
        <v>88</v>
      </c>
      <c r="G316" t="s">
        <v>89</v>
      </c>
      <c r="H316" s="1">
        <v>1133.6012628702499</v>
      </c>
      <c r="I316">
        <f>_FIIPer1000[[#This Row],[No.Per1000Adults]]-H315</f>
        <v>55.539835693199848</v>
      </c>
      <c r="J316" t="s">
        <v>67</v>
      </c>
      <c r="K316" t="s">
        <v>68</v>
      </c>
    </row>
    <row r="317" spans="1:11" hidden="1" x14ac:dyDescent="0.25">
      <c r="A317" t="s">
        <v>5</v>
      </c>
      <c r="B317" t="s">
        <v>6</v>
      </c>
      <c r="C317" t="s">
        <v>13</v>
      </c>
      <c r="D317" t="s">
        <v>14</v>
      </c>
      <c r="E317">
        <v>2022</v>
      </c>
      <c r="F317" t="s">
        <v>88</v>
      </c>
      <c r="G317" t="s">
        <v>89</v>
      </c>
      <c r="H317" s="1">
        <v>1044.8542835165399</v>
      </c>
      <c r="I317">
        <f>_FIIPer1000[[#This Row],[No.Per1000Adults]]-H316</f>
        <v>-88.746979353710003</v>
      </c>
      <c r="J317" t="s">
        <v>67</v>
      </c>
      <c r="K317" t="s">
        <v>68</v>
      </c>
    </row>
    <row r="318" spans="1:11" hidden="1" x14ac:dyDescent="0.25">
      <c r="A318" t="s">
        <v>5</v>
      </c>
      <c r="B318" t="s">
        <v>6</v>
      </c>
      <c r="C318" t="s">
        <v>13</v>
      </c>
      <c r="D318" t="s">
        <v>14</v>
      </c>
      <c r="E318">
        <v>2023</v>
      </c>
      <c r="F318" t="s">
        <v>88</v>
      </c>
      <c r="G318" t="s">
        <v>89</v>
      </c>
      <c r="H318" s="1">
        <v>961.80094804896805</v>
      </c>
      <c r="I318">
        <f>_FIIPer1000[[#This Row],[No.Per1000Adults]]-H317</f>
        <v>-83.053335467571856</v>
      </c>
      <c r="J318" t="s">
        <v>67</v>
      </c>
      <c r="K318" t="s">
        <v>68</v>
      </c>
    </row>
    <row r="319" spans="1:11" hidden="1" x14ac:dyDescent="0.25">
      <c r="A319" t="s">
        <v>5</v>
      </c>
      <c r="B319" t="s">
        <v>6</v>
      </c>
      <c r="C319" t="s">
        <v>13</v>
      </c>
      <c r="D319" t="s">
        <v>14</v>
      </c>
      <c r="E319">
        <v>2024</v>
      </c>
      <c r="F319" t="s">
        <v>88</v>
      </c>
      <c r="G319" t="s">
        <v>89</v>
      </c>
      <c r="H319" s="1">
        <v>907.30211563055695</v>
      </c>
      <c r="I319">
        <f>_FIIPer1000[[#This Row],[No.Per1000Adults]]-H318</f>
        <v>-54.498832418411098</v>
      </c>
      <c r="J319" t="s">
        <v>67</v>
      </c>
      <c r="K319" t="s">
        <v>68</v>
      </c>
    </row>
    <row r="320" spans="1:11" hidden="1" x14ac:dyDescent="0.25">
      <c r="A320" t="s">
        <v>5</v>
      </c>
      <c r="B320" t="s">
        <v>6</v>
      </c>
      <c r="C320" t="s">
        <v>15</v>
      </c>
      <c r="D320" t="s">
        <v>16</v>
      </c>
      <c r="E320">
        <v>2019</v>
      </c>
      <c r="F320" t="s">
        <v>88</v>
      </c>
      <c r="G320" t="s">
        <v>89</v>
      </c>
      <c r="J320" t="s">
        <v>67</v>
      </c>
      <c r="K320" t="s">
        <v>68</v>
      </c>
    </row>
    <row r="321" spans="1:11" hidden="1" x14ac:dyDescent="0.25">
      <c r="A321" t="s">
        <v>5</v>
      </c>
      <c r="B321" t="s">
        <v>6</v>
      </c>
      <c r="C321" t="s">
        <v>15</v>
      </c>
      <c r="D321" t="s">
        <v>16</v>
      </c>
      <c r="E321">
        <v>2020</v>
      </c>
      <c r="F321" t="s">
        <v>88</v>
      </c>
      <c r="G321" t="s">
        <v>89</v>
      </c>
      <c r="J321" t="s">
        <v>67</v>
      </c>
      <c r="K321" t="s">
        <v>68</v>
      </c>
    </row>
    <row r="322" spans="1:11" hidden="1" x14ac:dyDescent="0.25">
      <c r="A322" t="s">
        <v>5</v>
      </c>
      <c r="B322" t="s">
        <v>6</v>
      </c>
      <c r="C322" t="s">
        <v>15</v>
      </c>
      <c r="D322" t="s">
        <v>16</v>
      </c>
      <c r="E322">
        <v>2021</v>
      </c>
      <c r="F322" t="s">
        <v>88</v>
      </c>
      <c r="G322" t="s">
        <v>89</v>
      </c>
      <c r="J322" t="s">
        <v>67</v>
      </c>
      <c r="K322" t="s">
        <v>68</v>
      </c>
    </row>
    <row r="323" spans="1:11" hidden="1" x14ac:dyDescent="0.25">
      <c r="A323" t="s">
        <v>5</v>
      </c>
      <c r="B323" t="s">
        <v>6</v>
      </c>
      <c r="C323" t="s">
        <v>15</v>
      </c>
      <c r="D323" t="s">
        <v>16</v>
      </c>
      <c r="E323">
        <v>2022</v>
      </c>
      <c r="F323" t="s">
        <v>88</v>
      </c>
      <c r="G323" t="s">
        <v>89</v>
      </c>
      <c r="J323" t="s">
        <v>67</v>
      </c>
      <c r="K323" t="s">
        <v>68</v>
      </c>
    </row>
    <row r="324" spans="1:11" hidden="1" x14ac:dyDescent="0.25">
      <c r="A324" t="s">
        <v>5</v>
      </c>
      <c r="B324" t="s">
        <v>6</v>
      </c>
      <c r="C324" t="s">
        <v>15</v>
      </c>
      <c r="D324" t="s">
        <v>16</v>
      </c>
      <c r="E324">
        <v>2023</v>
      </c>
      <c r="F324" t="s">
        <v>88</v>
      </c>
      <c r="G324" t="s">
        <v>89</v>
      </c>
      <c r="J324" t="s">
        <v>67</v>
      </c>
      <c r="K324" t="s">
        <v>68</v>
      </c>
    </row>
    <row r="325" spans="1:11" hidden="1" x14ac:dyDescent="0.25">
      <c r="A325" t="s">
        <v>5</v>
      </c>
      <c r="B325" t="s">
        <v>6</v>
      </c>
      <c r="C325" t="s">
        <v>15</v>
      </c>
      <c r="D325" t="s">
        <v>16</v>
      </c>
      <c r="E325">
        <v>2024</v>
      </c>
      <c r="F325" t="s">
        <v>88</v>
      </c>
      <c r="G325" t="s">
        <v>89</v>
      </c>
      <c r="J325" t="s">
        <v>67</v>
      </c>
      <c r="K325" t="s">
        <v>68</v>
      </c>
    </row>
    <row r="326" spans="1:11" hidden="1" x14ac:dyDescent="0.25">
      <c r="A326" t="s">
        <v>5</v>
      </c>
      <c r="B326" t="s">
        <v>6</v>
      </c>
      <c r="C326" t="s">
        <v>17</v>
      </c>
      <c r="D326" t="s">
        <v>18</v>
      </c>
      <c r="E326">
        <v>2019</v>
      </c>
      <c r="F326" t="s">
        <v>88</v>
      </c>
      <c r="G326" t="s">
        <v>89</v>
      </c>
      <c r="H326" s="1">
        <v>6663.0726425078101</v>
      </c>
      <c r="J326" t="s">
        <v>67</v>
      </c>
      <c r="K326" t="s">
        <v>68</v>
      </c>
    </row>
    <row r="327" spans="1:11" hidden="1" x14ac:dyDescent="0.25">
      <c r="A327" t="s">
        <v>5</v>
      </c>
      <c r="B327" t="s">
        <v>6</v>
      </c>
      <c r="C327" t="s">
        <v>17</v>
      </c>
      <c r="D327" t="s">
        <v>18</v>
      </c>
      <c r="E327">
        <v>2020</v>
      </c>
      <c r="F327" t="s">
        <v>88</v>
      </c>
      <c r="G327" t="s">
        <v>89</v>
      </c>
      <c r="H327" s="1">
        <v>7062.9028955521298</v>
      </c>
      <c r="I327">
        <f>_FIIPer1000[[#This Row],[No.Per1000Adults]]-H326</f>
        <v>399.83025304431976</v>
      </c>
      <c r="J327" t="s">
        <v>67</v>
      </c>
      <c r="K327" t="s">
        <v>68</v>
      </c>
    </row>
    <row r="328" spans="1:11" hidden="1" x14ac:dyDescent="0.25">
      <c r="A328" t="s">
        <v>5</v>
      </c>
      <c r="B328" t="s">
        <v>6</v>
      </c>
      <c r="C328" t="s">
        <v>17</v>
      </c>
      <c r="D328" t="s">
        <v>18</v>
      </c>
      <c r="E328">
        <v>2021</v>
      </c>
      <c r="F328" t="s">
        <v>88</v>
      </c>
      <c r="G328" t="s">
        <v>89</v>
      </c>
      <c r="H328" s="1">
        <v>7256.6174990955597</v>
      </c>
      <c r="I328">
        <f>_FIIPer1000[[#This Row],[No.Per1000Adults]]-H327</f>
        <v>193.7146035434298</v>
      </c>
      <c r="J328" t="s">
        <v>67</v>
      </c>
      <c r="K328" t="s">
        <v>68</v>
      </c>
    </row>
    <row r="329" spans="1:11" hidden="1" x14ac:dyDescent="0.25">
      <c r="A329" t="s">
        <v>5</v>
      </c>
      <c r="B329" t="s">
        <v>6</v>
      </c>
      <c r="C329" t="s">
        <v>17</v>
      </c>
      <c r="D329" t="s">
        <v>18</v>
      </c>
      <c r="E329">
        <v>2022</v>
      </c>
      <c r="F329" t="s">
        <v>88</v>
      </c>
      <c r="G329" t="s">
        <v>89</v>
      </c>
      <c r="H329" s="1">
        <v>7416.3612173932997</v>
      </c>
      <c r="I329">
        <f>_FIIPer1000[[#This Row],[No.Per1000Adults]]-H328</f>
        <v>159.74371829774009</v>
      </c>
      <c r="J329" t="s">
        <v>67</v>
      </c>
      <c r="K329" t="s">
        <v>68</v>
      </c>
    </row>
    <row r="330" spans="1:11" hidden="1" x14ac:dyDescent="0.25">
      <c r="A330" t="s">
        <v>5</v>
      </c>
      <c r="B330" t="s">
        <v>6</v>
      </c>
      <c r="C330" t="s">
        <v>17</v>
      </c>
      <c r="D330" t="s">
        <v>18</v>
      </c>
      <c r="E330">
        <v>2023</v>
      </c>
      <c r="F330" t="s">
        <v>88</v>
      </c>
      <c r="G330" t="s">
        <v>89</v>
      </c>
      <c r="H330" s="1">
        <v>7665.6442725514999</v>
      </c>
      <c r="I330">
        <f>_FIIPer1000[[#This Row],[No.Per1000Adults]]-H329</f>
        <v>249.28305515820011</v>
      </c>
      <c r="J330" t="s">
        <v>67</v>
      </c>
      <c r="K330" t="s">
        <v>68</v>
      </c>
    </row>
    <row r="331" spans="1:11" hidden="1" x14ac:dyDescent="0.25">
      <c r="A331" t="s">
        <v>5</v>
      </c>
      <c r="B331" t="s">
        <v>6</v>
      </c>
      <c r="C331" t="s">
        <v>17</v>
      </c>
      <c r="D331" t="s">
        <v>18</v>
      </c>
      <c r="E331">
        <v>2024</v>
      </c>
      <c r="F331" t="s">
        <v>88</v>
      </c>
      <c r="G331" t="s">
        <v>89</v>
      </c>
      <c r="H331" s="1">
        <v>7762.1902586956003</v>
      </c>
      <c r="I331">
        <f>_FIIPer1000[[#This Row],[No.Per1000Adults]]-H330</f>
        <v>96.545986144100425</v>
      </c>
      <c r="J331" t="s">
        <v>67</v>
      </c>
      <c r="K331" t="s">
        <v>68</v>
      </c>
    </row>
    <row r="332" spans="1:11" hidden="1" x14ac:dyDescent="0.25">
      <c r="A332" t="s">
        <v>5</v>
      </c>
      <c r="B332" t="s">
        <v>6</v>
      </c>
      <c r="C332" t="s">
        <v>19</v>
      </c>
      <c r="D332" t="s">
        <v>20</v>
      </c>
      <c r="E332">
        <v>2019</v>
      </c>
      <c r="F332" t="s">
        <v>88</v>
      </c>
      <c r="G332" t="s">
        <v>89</v>
      </c>
      <c r="H332" s="1">
        <v>1280.6904589533401</v>
      </c>
      <c r="J332" t="s">
        <v>67</v>
      </c>
      <c r="K332" t="s">
        <v>68</v>
      </c>
    </row>
    <row r="333" spans="1:11" hidden="1" x14ac:dyDescent="0.25">
      <c r="A333" t="s">
        <v>5</v>
      </c>
      <c r="B333" t="s">
        <v>6</v>
      </c>
      <c r="C333" t="s">
        <v>19</v>
      </c>
      <c r="D333" t="s">
        <v>20</v>
      </c>
      <c r="E333">
        <v>2020</v>
      </c>
      <c r="F333" t="s">
        <v>88</v>
      </c>
      <c r="G333" t="s">
        <v>89</v>
      </c>
      <c r="H333" s="1">
        <v>1302.5861369573799</v>
      </c>
      <c r="I333">
        <f>_FIIPer1000[[#This Row],[No.Per1000Adults]]-H332</f>
        <v>21.895678004039837</v>
      </c>
      <c r="J333" t="s">
        <v>67</v>
      </c>
      <c r="K333" t="s">
        <v>68</v>
      </c>
    </row>
    <row r="334" spans="1:11" hidden="1" x14ac:dyDescent="0.25">
      <c r="A334" t="s">
        <v>5</v>
      </c>
      <c r="B334" t="s">
        <v>6</v>
      </c>
      <c r="C334" t="s">
        <v>19</v>
      </c>
      <c r="D334" t="s">
        <v>20</v>
      </c>
      <c r="E334">
        <v>2021</v>
      </c>
      <c r="F334" t="s">
        <v>88</v>
      </c>
      <c r="G334" t="s">
        <v>89</v>
      </c>
      <c r="H334" s="1">
        <v>1316.27751162492</v>
      </c>
      <c r="I334">
        <f>_FIIPer1000[[#This Row],[No.Per1000Adults]]-H333</f>
        <v>13.691374667540003</v>
      </c>
      <c r="J334" t="s">
        <v>67</v>
      </c>
      <c r="K334" t="s">
        <v>68</v>
      </c>
    </row>
    <row r="335" spans="1:11" hidden="1" x14ac:dyDescent="0.25">
      <c r="A335" t="s">
        <v>5</v>
      </c>
      <c r="B335" t="s">
        <v>6</v>
      </c>
      <c r="C335" t="s">
        <v>19</v>
      </c>
      <c r="D335" t="s">
        <v>20</v>
      </c>
      <c r="E335">
        <v>2022</v>
      </c>
      <c r="F335" t="s">
        <v>88</v>
      </c>
      <c r="G335" t="s">
        <v>89</v>
      </c>
      <c r="H335" s="1">
        <v>1345.7858663443301</v>
      </c>
      <c r="I335">
        <f>_FIIPer1000[[#This Row],[No.Per1000Adults]]-H334</f>
        <v>29.508354719410136</v>
      </c>
      <c r="J335" t="s">
        <v>67</v>
      </c>
      <c r="K335" t="s">
        <v>68</v>
      </c>
    </row>
    <row r="336" spans="1:11" hidden="1" x14ac:dyDescent="0.25">
      <c r="A336" t="s">
        <v>5</v>
      </c>
      <c r="B336" t="s">
        <v>6</v>
      </c>
      <c r="C336" t="s">
        <v>19</v>
      </c>
      <c r="D336" t="s">
        <v>20</v>
      </c>
      <c r="E336">
        <v>2023</v>
      </c>
      <c r="F336" t="s">
        <v>88</v>
      </c>
      <c r="G336" t="s">
        <v>89</v>
      </c>
      <c r="H336" s="1">
        <v>1355.0234697103999</v>
      </c>
      <c r="I336">
        <f>_FIIPer1000[[#This Row],[No.Per1000Adults]]-H335</f>
        <v>9.237603366069834</v>
      </c>
      <c r="J336" t="s">
        <v>67</v>
      </c>
      <c r="K336" t="s">
        <v>68</v>
      </c>
    </row>
    <row r="337" spans="1:11" hidden="1" x14ac:dyDescent="0.25">
      <c r="A337" t="s">
        <v>5</v>
      </c>
      <c r="B337" t="s">
        <v>6</v>
      </c>
      <c r="C337" t="s">
        <v>19</v>
      </c>
      <c r="D337" t="s">
        <v>20</v>
      </c>
      <c r="E337">
        <v>2024</v>
      </c>
      <c r="F337" t="s">
        <v>88</v>
      </c>
      <c r="G337" t="s">
        <v>89</v>
      </c>
      <c r="H337" s="1">
        <v>1345.9671049834701</v>
      </c>
      <c r="I337">
        <f>_FIIPer1000[[#This Row],[No.Per1000Adults]]-H336</f>
        <v>-9.0563647269298144</v>
      </c>
      <c r="J337" t="s">
        <v>67</v>
      </c>
      <c r="K337" t="s">
        <v>68</v>
      </c>
    </row>
    <row r="338" spans="1:11" hidden="1" x14ac:dyDescent="0.25">
      <c r="A338" t="s">
        <v>5</v>
      </c>
      <c r="B338" t="s">
        <v>6</v>
      </c>
      <c r="C338" t="s">
        <v>23</v>
      </c>
      <c r="D338" t="s">
        <v>24</v>
      </c>
      <c r="E338">
        <v>2019</v>
      </c>
      <c r="F338" t="s">
        <v>88</v>
      </c>
      <c r="G338" t="s">
        <v>89</v>
      </c>
      <c r="H338" s="1">
        <v>891.26660719045697</v>
      </c>
      <c r="J338" t="s">
        <v>67</v>
      </c>
      <c r="K338" t="s">
        <v>68</v>
      </c>
    </row>
    <row r="339" spans="1:11" hidden="1" x14ac:dyDescent="0.25">
      <c r="A339" t="s">
        <v>5</v>
      </c>
      <c r="B339" t="s">
        <v>6</v>
      </c>
      <c r="C339" t="s">
        <v>23</v>
      </c>
      <c r="D339" t="s">
        <v>24</v>
      </c>
      <c r="E339">
        <v>2020</v>
      </c>
      <c r="F339" t="s">
        <v>88</v>
      </c>
      <c r="G339" t="s">
        <v>89</v>
      </c>
      <c r="H339" s="1">
        <v>802.02053387652995</v>
      </c>
      <c r="I339">
        <f>_FIIPer1000[[#This Row],[No.Per1000Adults]]-H338</f>
        <v>-89.246073313927013</v>
      </c>
      <c r="J339" t="s">
        <v>67</v>
      </c>
      <c r="K339" t="s">
        <v>68</v>
      </c>
    </row>
    <row r="340" spans="1:11" hidden="1" x14ac:dyDescent="0.25">
      <c r="A340" t="s">
        <v>5</v>
      </c>
      <c r="B340" t="s">
        <v>6</v>
      </c>
      <c r="C340" t="s">
        <v>23</v>
      </c>
      <c r="D340" t="s">
        <v>24</v>
      </c>
      <c r="E340">
        <v>2021</v>
      </c>
      <c r="F340" t="s">
        <v>88</v>
      </c>
      <c r="G340" t="s">
        <v>89</v>
      </c>
      <c r="H340" s="1">
        <v>857.18375659001401</v>
      </c>
      <c r="I340">
        <f>_FIIPer1000[[#This Row],[No.Per1000Adults]]-H339</f>
        <v>55.16322271348406</v>
      </c>
      <c r="J340" t="s">
        <v>67</v>
      </c>
      <c r="K340" t="s">
        <v>68</v>
      </c>
    </row>
    <row r="341" spans="1:11" hidden="1" x14ac:dyDescent="0.25">
      <c r="A341" t="s">
        <v>5</v>
      </c>
      <c r="B341" t="s">
        <v>6</v>
      </c>
      <c r="C341" t="s">
        <v>23</v>
      </c>
      <c r="D341" t="s">
        <v>24</v>
      </c>
      <c r="E341">
        <v>2022</v>
      </c>
      <c r="F341" t="s">
        <v>88</v>
      </c>
      <c r="G341" t="s">
        <v>89</v>
      </c>
      <c r="H341" s="1">
        <v>863.99796860526999</v>
      </c>
      <c r="I341">
        <f>_FIIPer1000[[#This Row],[No.Per1000Adults]]-H340</f>
        <v>6.8142120152559755</v>
      </c>
      <c r="J341" t="s">
        <v>67</v>
      </c>
      <c r="K341" t="s">
        <v>68</v>
      </c>
    </row>
    <row r="342" spans="1:11" hidden="1" x14ac:dyDescent="0.25">
      <c r="A342" t="s">
        <v>5</v>
      </c>
      <c r="B342" t="s">
        <v>6</v>
      </c>
      <c r="C342" t="s">
        <v>23</v>
      </c>
      <c r="D342" t="s">
        <v>24</v>
      </c>
      <c r="E342">
        <v>2023</v>
      </c>
      <c r="F342" t="s">
        <v>88</v>
      </c>
      <c r="G342" t="s">
        <v>89</v>
      </c>
      <c r="H342" s="1">
        <v>891.92780305490203</v>
      </c>
      <c r="I342">
        <f>_FIIPer1000[[#This Row],[No.Per1000Adults]]-H341</f>
        <v>27.92983444963204</v>
      </c>
      <c r="J342" t="s">
        <v>67</v>
      </c>
      <c r="K342" t="s">
        <v>68</v>
      </c>
    </row>
    <row r="343" spans="1:11" hidden="1" x14ac:dyDescent="0.25">
      <c r="A343" t="s">
        <v>5</v>
      </c>
      <c r="B343" t="s">
        <v>6</v>
      </c>
      <c r="C343" t="s">
        <v>23</v>
      </c>
      <c r="D343" t="s">
        <v>24</v>
      </c>
      <c r="E343">
        <v>2024</v>
      </c>
      <c r="F343" t="s">
        <v>88</v>
      </c>
      <c r="G343" t="s">
        <v>89</v>
      </c>
      <c r="H343" s="1">
        <v>882.28562815908401</v>
      </c>
      <c r="I343">
        <f>_FIIPer1000[[#This Row],[No.Per1000Adults]]-H342</f>
        <v>-9.642174895818016</v>
      </c>
      <c r="J343" t="s">
        <v>67</v>
      </c>
      <c r="K343" t="s">
        <v>68</v>
      </c>
    </row>
    <row r="344" spans="1:11" hidden="1" x14ac:dyDescent="0.25">
      <c r="A344" t="s">
        <v>5</v>
      </c>
      <c r="B344" t="s">
        <v>6</v>
      </c>
      <c r="C344" t="s">
        <v>29</v>
      </c>
      <c r="D344" t="s">
        <v>30</v>
      </c>
      <c r="E344">
        <v>2019</v>
      </c>
      <c r="F344" t="s">
        <v>88</v>
      </c>
      <c r="G344" t="s">
        <v>89</v>
      </c>
      <c r="H344" s="1">
        <v>4089.19817292978</v>
      </c>
      <c r="J344" t="s">
        <v>67</v>
      </c>
      <c r="K344" t="s">
        <v>68</v>
      </c>
    </row>
    <row r="345" spans="1:11" hidden="1" x14ac:dyDescent="0.25">
      <c r="A345" t="s">
        <v>5</v>
      </c>
      <c r="B345" t="s">
        <v>6</v>
      </c>
      <c r="C345" t="s">
        <v>29</v>
      </c>
      <c r="D345" t="s">
        <v>30</v>
      </c>
      <c r="E345">
        <v>2020</v>
      </c>
      <c r="F345" t="s">
        <v>88</v>
      </c>
      <c r="G345" t="s">
        <v>89</v>
      </c>
      <c r="H345" s="1">
        <v>4118.5245796679601</v>
      </c>
      <c r="I345">
        <f>_FIIPer1000[[#This Row],[No.Per1000Adults]]-H344</f>
        <v>29.32640673818014</v>
      </c>
      <c r="J345" t="s">
        <v>67</v>
      </c>
      <c r="K345" t="s">
        <v>68</v>
      </c>
    </row>
    <row r="346" spans="1:11" hidden="1" x14ac:dyDescent="0.25">
      <c r="A346" t="s">
        <v>5</v>
      </c>
      <c r="B346" t="s">
        <v>6</v>
      </c>
      <c r="C346" t="s">
        <v>29</v>
      </c>
      <c r="D346" t="s">
        <v>30</v>
      </c>
      <c r="E346">
        <v>2021</v>
      </c>
      <c r="F346" t="s">
        <v>88</v>
      </c>
      <c r="G346" t="s">
        <v>89</v>
      </c>
      <c r="H346" s="1">
        <v>4157.9840712354298</v>
      </c>
      <c r="I346">
        <f>_FIIPer1000[[#This Row],[No.Per1000Adults]]-H345</f>
        <v>39.45949156746974</v>
      </c>
      <c r="J346" t="s">
        <v>67</v>
      </c>
      <c r="K346" t="s">
        <v>68</v>
      </c>
    </row>
    <row r="347" spans="1:11" hidden="1" x14ac:dyDescent="0.25">
      <c r="A347" t="s">
        <v>5</v>
      </c>
      <c r="B347" t="s">
        <v>6</v>
      </c>
      <c r="C347" t="s">
        <v>29</v>
      </c>
      <c r="D347" t="s">
        <v>30</v>
      </c>
      <c r="E347">
        <v>2022</v>
      </c>
      <c r="F347" t="s">
        <v>88</v>
      </c>
      <c r="G347" t="s">
        <v>89</v>
      </c>
      <c r="H347" s="1">
        <v>4219.8276024654897</v>
      </c>
      <c r="I347">
        <f>_FIIPer1000[[#This Row],[No.Per1000Adults]]-H346</f>
        <v>61.843531230059853</v>
      </c>
      <c r="J347" t="s">
        <v>67</v>
      </c>
      <c r="K347" t="s">
        <v>68</v>
      </c>
    </row>
    <row r="348" spans="1:11" hidden="1" x14ac:dyDescent="0.25">
      <c r="A348" t="s">
        <v>5</v>
      </c>
      <c r="B348" t="s">
        <v>6</v>
      </c>
      <c r="C348" t="s">
        <v>29</v>
      </c>
      <c r="D348" t="s">
        <v>30</v>
      </c>
      <c r="E348">
        <v>2023</v>
      </c>
      <c r="F348" t="s">
        <v>88</v>
      </c>
      <c r="G348" t="s">
        <v>89</v>
      </c>
      <c r="H348" s="1">
        <v>4241.28988006909</v>
      </c>
      <c r="I348">
        <f>_FIIPer1000[[#This Row],[No.Per1000Adults]]-H347</f>
        <v>21.462277603600342</v>
      </c>
      <c r="J348" t="s">
        <v>67</v>
      </c>
      <c r="K348" t="s">
        <v>68</v>
      </c>
    </row>
    <row r="349" spans="1:11" hidden="1" x14ac:dyDescent="0.25">
      <c r="A349" t="s">
        <v>5</v>
      </c>
      <c r="B349" t="s">
        <v>6</v>
      </c>
      <c r="C349" t="s">
        <v>29</v>
      </c>
      <c r="D349" t="s">
        <v>30</v>
      </c>
      <c r="E349">
        <v>2024</v>
      </c>
      <c r="F349" t="s">
        <v>88</v>
      </c>
      <c r="G349" t="s">
        <v>89</v>
      </c>
      <c r="H349" s="1">
        <v>4254.9267822531001</v>
      </c>
      <c r="I349">
        <f>_FIIPer1000[[#This Row],[No.Per1000Adults]]-H348</f>
        <v>13.636902184010069</v>
      </c>
      <c r="J349" t="s">
        <v>67</v>
      </c>
      <c r="K349" t="s">
        <v>68</v>
      </c>
    </row>
    <row r="350" spans="1:11" hidden="1" x14ac:dyDescent="0.25">
      <c r="A350" t="s">
        <v>5</v>
      </c>
      <c r="B350" t="s">
        <v>6</v>
      </c>
      <c r="C350" t="s">
        <v>31</v>
      </c>
      <c r="D350" t="s">
        <v>32</v>
      </c>
      <c r="E350">
        <v>2019</v>
      </c>
      <c r="F350" t="s">
        <v>88</v>
      </c>
      <c r="G350" t="s">
        <v>89</v>
      </c>
      <c r="H350" s="1">
        <v>718.95834805523896</v>
      </c>
      <c r="J350" t="s">
        <v>67</v>
      </c>
      <c r="K350" t="s">
        <v>68</v>
      </c>
    </row>
    <row r="351" spans="1:11" hidden="1" x14ac:dyDescent="0.25">
      <c r="A351" t="s">
        <v>5</v>
      </c>
      <c r="B351" t="s">
        <v>6</v>
      </c>
      <c r="C351" t="s">
        <v>31</v>
      </c>
      <c r="D351" t="s">
        <v>32</v>
      </c>
      <c r="E351">
        <v>2020</v>
      </c>
      <c r="F351" t="s">
        <v>88</v>
      </c>
      <c r="G351" t="s">
        <v>89</v>
      </c>
      <c r="H351" s="1">
        <v>711.02984832709501</v>
      </c>
      <c r="I351">
        <f>_FIIPer1000[[#This Row],[No.Per1000Adults]]-H350</f>
        <v>-7.9284997281439473</v>
      </c>
      <c r="J351" t="s">
        <v>67</v>
      </c>
      <c r="K351" t="s">
        <v>68</v>
      </c>
    </row>
    <row r="352" spans="1:11" hidden="1" x14ac:dyDescent="0.25">
      <c r="A352" t="s">
        <v>5</v>
      </c>
      <c r="B352" t="s">
        <v>6</v>
      </c>
      <c r="C352" t="s">
        <v>31</v>
      </c>
      <c r="D352" t="s">
        <v>32</v>
      </c>
      <c r="E352">
        <v>2021</v>
      </c>
      <c r="F352" t="s">
        <v>88</v>
      </c>
      <c r="G352" t="s">
        <v>89</v>
      </c>
      <c r="H352" s="1">
        <v>658.04890590910202</v>
      </c>
      <c r="I352">
        <f>_FIIPer1000[[#This Row],[No.Per1000Adults]]-H351</f>
        <v>-52.980942417992992</v>
      </c>
      <c r="J352" t="s">
        <v>67</v>
      </c>
      <c r="K352" t="s">
        <v>68</v>
      </c>
    </row>
    <row r="353" spans="1:11" hidden="1" x14ac:dyDescent="0.25">
      <c r="A353" t="s">
        <v>5</v>
      </c>
      <c r="B353" t="s">
        <v>6</v>
      </c>
      <c r="C353" t="s">
        <v>31</v>
      </c>
      <c r="D353" t="s">
        <v>32</v>
      </c>
      <c r="E353">
        <v>2022</v>
      </c>
      <c r="F353" t="s">
        <v>88</v>
      </c>
      <c r="G353" t="s">
        <v>89</v>
      </c>
      <c r="H353" s="1">
        <v>653.02694109702202</v>
      </c>
      <c r="I353">
        <f>_FIIPer1000[[#This Row],[No.Per1000Adults]]-H352</f>
        <v>-5.0219648120800002</v>
      </c>
      <c r="J353" t="s">
        <v>67</v>
      </c>
      <c r="K353" t="s">
        <v>68</v>
      </c>
    </row>
    <row r="354" spans="1:11" hidden="1" x14ac:dyDescent="0.25">
      <c r="A354" t="s">
        <v>5</v>
      </c>
      <c r="B354" t="s">
        <v>6</v>
      </c>
      <c r="C354" t="s">
        <v>31</v>
      </c>
      <c r="D354" t="s">
        <v>32</v>
      </c>
      <c r="E354">
        <v>2023</v>
      </c>
      <c r="F354" t="s">
        <v>88</v>
      </c>
      <c r="G354" t="s">
        <v>89</v>
      </c>
      <c r="H354" s="1">
        <v>652.85499438306204</v>
      </c>
      <c r="I354">
        <f>_FIIPer1000[[#This Row],[No.Per1000Adults]]-H353</f>
        <v>-0.17194671395998284</v>
      </c>
      <c r="J354" t="s">
        <v>67</v>
      </c>
      <c r="K354" t="s">
        <v>68</v>
      </c>
    </row>
    <row r="355" spans="1:11" hidden="1" x14ac:dyDescent="0.25">
      <c r="A355" t="s">
        <v>5</v>
      </c>
      <c r="B355" t="s">
        <v>6</v>
      </c>
      <c r="C355" t="s">
        <v>31</v>
      </c>
      <c r="D355" t="s">
        <v>32</v>
      </c>
      <c r="E355">
        <v>2024</v>
      </c>
      <c r="F355" t="s">
        <v>88</v>
      </c>
      <c r="G355" t="s">
        <v>89</v>
      </c>
      <c r="H355" s="2"/>
      <c r="J355" t="s">
        <v>67</v>
      </c>
      <c r="K355" t="s">
        <v>68</v>
      </c>
    </row>
    <row r="356" spans="1:11" hidden="1" x14ac:dyDescent="0.25">
      <c r="A356" t="s">
        <v>5</v>
      </c>
      <c r="B356" t="s">
        <v>6</v>
      </c>
      <c r="C356" t="s">
        <v>35</v>
      </c>
      <c r="D356" t="s">
        <v>36</v>
      </c>
      <c r="E356">
        <v>2019</v>
      </c>
      <c r="F356" t="s">
        <v>88</v>
      </c>
      <c r="G356" t="s">
        <v>89</v>
      </c>
      <c r="H356" s="1">
        <v>2540.1758992731702</v>
      </c>
      <c r="J356" t="s">
        <v>67</v>
      </c>
      <c r="K356" t="s">
        <v>68</v>
      </c>
    </row>
    <row r="357" spans="1:11" hidden="1" x14ac:dyDescent="0.25">
      <c r="A357" t="s">
        <v>5</v>
      </c>
      <c r="B357" t="s">
        <v>6</v>
      </c>
      <c r="C357" t="s">
        <v>35</v>
      </c>
      <c r="D357" t="s">
        <v>36</v>
      </c>
      <c r="E357">
        <v>2020</v>
      </c>
      <c r="F357" t="s">
        <v>88</v>
      </c>
      <c r="G357" t="s">
        <v>89</v>
      </c>
      <c r="H357" s="1">
        <v>2744.0983903753099</v>
      </c>
      <c r="I357">
        <f>_FIIPer1000[[#This Row],[No.Per1000Adults]]-H356</f>
        <v>203.9224911021397</v>
      </c>
      <c r="J357" t="s">
        <v>67</v>
      </c>
      <c r="K357" t="s">
        <v>68</v>
      </c>
    </row>
    <row r="358" spans="1:11" hidden="1" x14ac:dyDescent="0.25">
      <c r="A358" t="s">
        <v>5</v>
      </c>
      <c r="B358" t="s">
        <v>6</v>
      </c>
      <c r="C358" t="s">
        <v>35</v>
      </c>
      <c r="D358" t="s">
        <v>36</v>
      </c>
      <c r="E358">
        <v>2021</v>
      </c>
      <c r="F358" t="s">
        <v>88</v>
      </c>
      <c r="G358" t="s">
        <v>89</v>
      </c>
      <c r="H358" s="1">
        <v>3054.9914313613099</v>
      </c>
      <c r="I358">
        <f>_FIIPer1000[[#This Row],[No.Per1000Adults]]-H357</f>
        <v>310.89304098599996</v>
      </c>
      <c r="J358" t="s">
        <v>67</v>
      </c>
      <c r="K358" t="s">
        <v>68</v>
      </c>
    </row>
    <row r="359" spans="1:11" hidden="1" x14ac:dyDescent="0.25">
      <c r="A359" t="s">
        <v>5</v>
      </c>
      <c r="B359" t="s">
        <v>6</v>
      </c>
      <c r="C359" t="s">
        <v>35</v>
      </c>
      <c r="D359" t="s">
        <v>36</v>
      </c>
      <c r="E359">
        <v>2022</v>
      </c>
      <c r="F359" t="s">
        <v>88</v>
      </c>
      <c r="G359" t="s">
        <v>89</v>
      </c>
      <c r="H359" s="1">
        <v>3655.2566196830999</v>
      </c>
      <c r="I359">
        <f>_FIIPer1000[[#This Row],[No.Per1000Adults]]-H358</f>
        <v>600.26518832178999</v>
      </c>
      <c r="J359" t="s">
        <v>67</v>
      </c>
      <c r="K359" t="s">
        <v>68</v>
      </c>
    </row>
    <row r="360" spans="1:11" hidden="1" x14ac:dyDescent="0.25">
      <c r="A360" t="s">
        <v>5</v>
      </c>
      <c r="B360" t="s">
        <v>6</v>
      </c>
      <c r="C360" t="s">
        <v>35</v>
      </c>
      <c r="D360" t="s">
        <v>36</v>
      </c>
      <c r="E360">
        <v>2023</v>
      </c>
      <c r="F360" t="s">
        <v>88</v>
      </c>
      <c r="G360" t="s">
        <v>89</v>
      </c>
      <c r="H360" s="1">
        <v>4165.8732457517599</v>
      </c>
      <c r="I360">
        <f>_FIIPer1000[[#This Row],[No.Per1000Adults]]-H359</f>
        <v>510.61662606866003</v>
      </c>
      <c r="J360" t="s">
        <v>67</v>
      </c>
      <c r="K360" t="s">
        <v>68</v>
      </c>
    </row>
    <row r="361" spans="1:11" hidden="1" x14ac:dyDescent="0.25">
      <c r="A361" t="s">
        <v>5</v>
      </c>
      <c r="B361" t="s">
        <v>6</v>
      </c>
      <c r="C361" t="s">
        <v>35</v>
      </c>
      <c r="D361" t="s">
        <v>36</v>
      </c>
      <c r="E361">
        <v>2024</v>
      </c>
      <c r="F361" t="s">
        <v>88</v>
      </c>
      <c r="G361" t="s">
        <v>89</v>
      </c>
      <c r="H361" s="1">
        <v>4753.9578237610904</v>
      </c>
      <c r="I361">
        <f>_FIIPer1000[[#This Row],[No.Per1000Adults]]-H360</f>
        <v>588.08457800933047</v>
      </c>
      <c r="J361" t="s">
        <v>67</v>
      </c>
      <c r="K361" t="s">
        <v>68</v>
      </c>
    </row>
    <row r="362" spans="1:11" hidden="1" x14ac:dyDescent="0.25">
      <c r="A362" t="s">
        <v>5</v>
      </c>
      <c r="B362" t="s">
        <v>6</v>
      </c>
      <c r="C362" t="s">
        <v>37</v>
      </c>
      <c r="D362" t="s">
        <v>38</v>
      </c>
      <c r="E362">
        <v>2019</v>
      </c>
      <c r="F362" t="s">
        <v>88</v>
      </c>
      <c r="G362" t="s">
        <v>89</v>
      </c>
      <c r="H362" s="1">
        <v>961.25603913889199</v>
      </c>
      <c r="J362" t="s">
        <v>67</v>
      </c>
      <c r="K362" t="s">
        <v>68</v>
      </c>
    </row>
    <row r="363" spans="1:11" hidden="1" x14ac:dyDescent="0.25">
      <c r="A363" t="s">
        <v>5</v>
      </c>
      <c r="B363" t="s">
        <v>6</v>
      </c>
      <c r="C363" t="s">
        <v>37</v>
      </c>
      <c r="D363" t="s">
        <v>38</v>
      </c>
      <c r="E363">
        <v>2020</v>
      </c>
      <c r="F363" t="s">
        <v>88</v>
      </c>
      <c r="G363" t="s">
        <v>89</v>
      </c>
      <c r="H363" s="1">
        <v>1092.33204855654</v>
      </c>
      <c r="I363">
        <f>_FIIPer1000[[#This Row],[No.Per1000Adults]]-H362</f>
        <v>131.07600941764804</v>
      </c>
      <c r="J363" t="s">
        <v>67</v>
      </c>
      <c r="K363" t="s">
        <v>68</v>
      </c>
    </row>
    <row r="364" spans="1:11" hidden="1" x14ac:dyDescent="0.25">
      <c r="A364" t="s">
        <v>5</v>
      </c>
      <c r="B364" t="s">
        <v>6</v>
      </c>
      <c r="C364" t="s">
        <v>37</v>
      </c>
      <c r="D364" t="s">
        <v>38</v>
      </c>
      <c r="E364">
        <v>2021</v>
      </c>
      <c r="F364" t="s">
        <v>88</v>
      </c>
      <c r="G364" t="s">
        <v>89</v>
      </c>
      <c r="H364" s="1">
        <v>1163.6529608697299</v>
      </c>
      <c r="I364">
        <f>_FIIPer1000[[#This Row],[No.Per1000Adults]]-H363</f>
        <v>71.320912313189865</v>
      </c>
      <c r="J364" t="s">
        <v>67</v>
      </c>
      <c r="K364" t="s">
        <v>68</v>
      </c>
    </row>
    <row r="365" spans="1:11" hidden="1" x14ac:dyDescent="0.25">
      <c r="A365" t="s">
        <v>5</v>
      </c>
      <c r="B365" t="s">
        <v>6</v>
      </c>
      <c r="C365" t="s">
        <v>37</v>
      </c>
      <c r="D365" t="s">
        <v>38</v>
      </c>
      <c r="E365">
        <v>2022</v>
      </c>
      <c r="F365" t="s">
        <v>88</v>
      </c>
      <c r="G365" t="s">
        <v>89</v>
      </c>
      <c r="H365" s="1">
        <v>1316.1222024280501</v>
      </c>
      <c r="I365">
        <f>_FIIPer1000[[#This Row],[No.Per1000Adults]]-H364</f>
        <v>152.46924155832016</v>
      </c>
      <c r="J365" t="s">
        <v>67</v>
      </c>
      <c r="K365" t="s">
        <v>68</v>
      </c>
    </row>
    <row r="366" spans="1:11" hidden="1" x14ac:dyDescent="0.25">
      <c r="A366" t="s">
        <v>5</v>
      </c>
      <c r="B366" t="s">
        <v>6</v>
      </c>
      <c r="C366" t="s">
        <v>37</v>
      </c>
      <c r="D366" t="s">
        <v>38</v>
      </c>
      <c r="E366">
        <v>2023</v>
      </c>
      <c r="F366" t="s">
        <v>88</v>
      </c>
      <c r="G366" t="s">
        <v>89</v>
      </c>
      <c r="H366" s="1">
        <v>1371.82104267197</v>
      </c>
      <c r="I366">
        <f>_FIIPer1000[[#This Row],[No.Per1000Adults]]-H365</f>
        <v>55.698840243919904</v>
      </c>
      <c r="J366" t="s">
        <v>67</v>
      </c>
      <c r="K366" t="s">
        <v>68</v>
      </c>
    </row>
    <row r="367" spans="1:11" hidden="1" x14ac:dyDescent="0.25">
      <c r="A367" t="s">
        <v>5</v>
      </c>
      <c r="B367" t="s">
        <v>6</v>
      </c>
      <c r="C367" t="s">
        <v>37</v>
      </c>
      <c r="D367" t="s">
        <v>38</v>
      </c>
      <c r="E367">
        <v>2024</v>
      </c>
      <c r="F367" t="s">
        <v>88</v>
      </c>
      <c r="G367" t="s">
        <v>89</v>
      </c>
      <c r="H367" s="2"/>
      <c r="J367" t="s">
        <v>67</v>
      </c>
      <c r="K367" t="s">
        <v>68</v>
      </c>
    </row>
    <row r="368" spans="1:11" hidden="1" x14ac:dyDescent="0.25">
      <c r="A368" t="s">
        <v>5</v>
      </c>
      <c r="B368" t="s">
        <v>6</v>
      </c>
      <c r="C368" t="s">
        <v>39</v>
      </c>
      <c r="D368" t="s">
        <v>40</v>
      </c>
      <c r="E368">
        <v>2019</v>
      </c>
      <c r="F368" t="s">
        <v>88</v>
      </c>
      <c r="G368" t="s">
        <v>89</v>
      </c>
      <c r="H368" s="1">
        <v>2093.7515365223499</v>
      </c>
      <c r="J368" t="s">
        <v>67</v>
      </c>
      <c r="K368" t="s">
        <v>68</v>
      </c>
    </row>
    <row r="369" spans="1:11" hidden="1" x14ac:dyDescent="0.25">
      <c r="A369" t="s">
        <v>5</v>
      </c>
      <c r="B369" t="s">
        <v>6</v>
      </c>
      <c r="C369" t="s">
        <v>39</v>
      </c>
      <c r="D369" t="s">
        <v>40</v>
      </c>
      <c r="E369">
        <v>2020</v>
      </c>
      <c r="F369" t="s">
        <v>88</v>
      </c>
      <c r="G369" t="s">
        <v>89</v>
      </c>
      <c r="H369" s="1">
        <v>2247.6324757051698</v>
      </c>
      <c r="I369">
        <f>_FIIPer1000[[#This Row],[No.Per1000Adults]]-H368</f>
        <v>153.88093918281993</v>
      </c>
      <c r="J369" t="s">
        <v>67</v>
      </c>
      <c r="K369" t="s">
        <v>68</v>
      </c>
    </row>
    <row r="370" spans="1:11" hidden="1" x14ac:dyDescent="0.25">
      <c r="A370" t="s">
        <v>5</v>
      </c>
      <c r="B370" t="s">
        <v>6</v>
      </c>
      <c r="C370" t="s">
        <v>39</v>
      </c>
      <c r="D370" t="s">
        <v>40</v>
      </c>
      <c r="E370">
        <v>2021</v>
      </c>
      <c r="F370" t="s">
        <v>88</v>
      </c>
      <c r="G370" t="s">
        <v>89</v>
      </c>
      <c r="H370" s="1">
        <v>2301.8164300245098</v>
      </c>
      <c r="I370">
        <f>_FIIPer1000[[#This Row],[No.Per1000Adults]]-H369</f>
        <v>54.183954319340046</v>
      </c>
      <c r="J370" t="s">
        <v>67</v>
      </c>
      <c r="K370" t="s">
        <v>68</v>
      </c>
    </row>
    <row r="371" spans="1:11" hidden="1" x14ac:dyDescent="0.25">
      <c r="A371" t="s">
        <v>5</v>
      </c>
      <c r="B371" t="s">
        <v>6</v>
      </c>
      <c r="C371" t="s">
        <v>39</v>
      </c>
      <c r="D371" t="s">
        <v>40</v>
      </c>
      <c r="E371">
        <v>2022</v>
      </c>
      <c r="F371" t="s">
        <v>88</v>
      </c>
      <c r="G371" t="s">
        <v>89</v>
      </c>
      <c r="H371" s="1">
        <v>2553.8792301651802</v>
      </c>
      <c r="I371">
        <f>_FIIPer1000[[#This Row],[No.Per1000Adults]]-H370</f>
        <v>252.06280014067033</v>
      </c>
      <c r="J371" t="s">
        <v>67</v>
      </c>
      <c r="K371" t="s">
        <v>68</v>
      </c>
    </row>
    <row r="372" spans="1:11" hidden="1" x14ac:dyDescent="0.25">
      <c r="A372" t="s">
        <v>5</v>
      </c>
      <c r="B372" t="s">
        <v>6</v>
      </c>
      <c r="C372" t="s">
        <v>39</v>
      </c>
      <c r="D372" t="s">
        <v>40</v>
      </c>
      <c r="E372">
        <v>2023</v>
      </c>
      <c r="F372" t="s">
        <v>88</v>
      </c>
      <c r="G372" t="s">
        <v>89</v>
      </c>
      <c r="H372" s="1">
        <v>2841.5762136928502</v>
      </c>
      <c r="I372">
        <f>_FIIPer1000[[#This Row],[No.Per1000Adults]]-H371</f>
        <v>287.69698352767</v>
      </c>
      <c r="J372" t="s">
        <v>67</v>
      </c>
      <c r="K372" t="s">
        <v>68</v>
      </c>
    </row>
    <row r="373" spans="1:11" hidden="1" x14ac:dyDescent="0.25">
      <c r="A373" t="s">
        <v>5</v>
      </c>
      <c r="B373" t="s">
        <v>6</v>
      </c>
      <c r="C373" t="s">
        <v>39</v>
      </c>
      <c r="D373" t="s">
        <v>40</v>
      </c>
      <c r="E373">
        <v>2024</v>
      </c>
      <c r="F373" t="s">
        <v>88</v>
      </c>
      <c r="G373" t="s">
        <v>89</v>
      </c>
      <c r="H373" s="1">
        <v>2894.5185352352801</v>
      </c>
      <c r="I373">
        <f>_FIIPer1000[[#This Row],[No.Per1000Adults]]-H372</f>
        <v>52.942321542429909</v>
      </c>
      <c r="J373" t="s">
        <v>67</v>
      </c>
      <c r="K373" t="s">
        <v>68</v>
      </c>
    </row>
    <row r="374" spans="1:11" hidden="1" x14ac:dyDescent="0.25">
      <c r="A374" t="s">
        <v>5</v>
      </c>
      <c r="B374" t="s">
        <v>6</v>
      </c>
      <c r="C374" t="s">
        <v>43</v>
      </c>
      <c r="D374" t="s">
        <v>44</v>
      </c>
      <c r="E374">
        <v>2019</v>
      </c>
      <c r="F374" t="s">
        <v>88</v>
      </c>
      <c r="G374" t="s">
        <v>89</v>
      </c>
      <c r="J374" t="s">
        <v>67</v>
      </c>
      <c r="K374" t="s">
        <v>68</v>
      </c>
    </row>
    <row r="375" spans="1:11" hidden="1" x14ac:dyDescent="0.25">
      <c r="A375" t="s">
        <v>5</v>
      </c>
      <c r="B375" t="s">
        <v>6</v>
      </c>
      <c r="C375" t="s">
        <v>43</v>
      </c>
      <c r="D375" t="s">
        <v>44</v>
      </c>
      <c r="E375">
        <v>2020</v>
      </c>
      <c r="F375" t="s">
        <v>88</v>
      </c>
      <c r="G375" t="s">
        <v>89</v>
      </c>
      <c r="J375" t="s">
        <v>67</v>
      </c>
      <c r="K375" t="s">
        <v>68</v>
      </c>
    </row>
    <row r="376" spans="1:11" hidden="1" x14ac:dyDescent="0.25">
      <c r="A376" t="s">
        <v>5</v>
      </c>
      <c r="B376" t="s">
        <v>6</v>
      </c>
      <c r="C376" t="s">
        <v>43</v>
      </c>
      <c r="D376" t="s">
        <v>44</v>
      </c>
      <c r="E376">
        <v>2021</v>
      </c>
      <c r="F376" t="s">
        <v>88</v>
      </c>
      <c r="G376" t="s">
        <v>89</v>
      </c>
      <c r="J376" t="s">
        <v>67</v>
      </c>
      <c r="K376" t="s">
        <v>68</v>
      </c>
    </row>
    <row r="377" spans="1:11" hidden="1" x14ac:dyDescent="0.25">
      <c r="A377" t="s">
        <v>5</v>
      </c>
      <c r="B377" t="s">
        <v>6</v>
      </c>
      <c r="C377" t="s">
        <v>43</v>
      </c>
      <c r="D377" t="s">
        <v>44</v>
      </c>
      <c r="E377">
        <v>2022</v>
      </c>
      <c r="F377" t="s">
        <v>88</v>
      </c>
      <c r="G377" t="s">
        <v>89</v>
      </c>
      <c r="J377" t="s">
        <v>67</v>
      </c>
      <c r="K377" t="s">
        <v>68</v>
      </c>
    </row>
    <row r="378" spans="1:11" hidden="1" x14ac:dyDescent="0.25">
      <c r="A378" t="s">
        <v>5</v>
      </c>
      <c r="B378" t="s">
        <v>6</v>
      </c>
      <c r="C378" t="s">
        <v>43</v>
      </c>
      <c r="D378" t="s">
        <v>44</v>
      </c>
      <c r="E378">
        <v>2023</v>
      </c>
      <c r="F378" t="s">
        <v>88</v>
      </c>
      <c r="G378" t="s">
        <v>89</v>
      </c>
      <c r="J378" t="s">
        <v>67</v>
      </c>
      <c r="K378" t="s">
        <v>68</v>
      </c>
    </row>
    <row r="379" spans="1:11" hidden="1" x14ac:dyDescent="0.25">
      <c r="A379" t="s">
        <v>5</v>
      </c>
      <c r="B379" t="s">
        <v>6</v>
      </c>
      <c r="C379" t="s">
        <v>43</v>
      </c>
      <c r="D379" t="s">
        <v>44</v>
      </c>
      <c r="E379">
        <v>2024</v>
      </c>
      <c r="F379" t="s">
        <v>88</v>
      </c>
      <c r="G379" t="s">
        <v>89</v>
      </c>
      <c r="J379" t="s">
        <v>67</v>
      </c>
      <c r="K379" t="s">
        <v>68</v>
      </c>
    </row>
    <row r="380" spans="1:11" hidden="1" x14ac:dyDescent="0.25">
      <c r="A380" t="s">
        <v>5</v>
      </c>
      <c r="B380" t="s">
        <v>6</v>
      </c>
      <c r="C380" t="s">
        <v>21</v>
      </c>
      <c r="D380" t="s">
        <v>22</v>
      </c>
      <c r="E380">
        <v>2019</v>
      </c>
      <c r="F380" t="s">
        <v>88</v>
      </c>
      <c r="G380" t="s">
        <v>89</v>
      </c>
      <c r="H380" s="1">
        <v>1612.2759251201301</v>
      </c>
      <c r="J380" t="s">
        <v>67</v>
      </c>
      <c r="K380" t="s">
        <v>68</v>
      </c>
    </row>
    <row r="381" spans="1:11" hidden="1" x14ac:dyDescent="0.25">
      <c r="A381" t="s">
        <v>5</v>
      </c>
      <c r="B381" t="s">
        <v>6</v>
      </c>
      <c r="C381" t="s">
        <v>21</v>
      </c>
      <c r="D381" t="s">
        <v>22</v>
      </c>
      <c r="E381">
        <v>2020</v>
      </c>
      <c r="F381" t="s">
        <v>88</v>
      </c>
      <c r="G381" t="s">
        <v>89</v>
      </c>
      <c r="H381" s="1">
        <v>1650.8398012083501</v>
      </c>
      <c r="I381">
        <f>_FIIPer1000[[#This Row],[No.Per1000Adults]]-H380</f>
        <v>38.563876088220013</v>
      </c>
      <c r="J381" t="s">
        <v>67</v>
      </c>
      <c r="K381" t="s">
        <v>68</v>
      </c>
    </row>
    <row r="382" spans="1:11" hidden="1" x14ac:dyDescent="0.25">
      <c r="A382" t="s">
        <v>5</v>
      </c>
      <c r="B382" t="s">
        <v>6</v>
      </c>
      <c r="C382" t="s">
        <v>21</v>
      </c>
      <c r="D382" t="s">
        <v>22</v>
      </c>
      <c r="E382">
        <v>2021</v>
      </c>
      <c r="F382" t="s">
        <v>88</v>
      </c>
      <c r="G382" t="s">
        <v>89</v>
      </c>
      <c r="H382" s="1">
        <v>1693.5860933022</v>
      </c>
      <c r="I382">
        <f>_FIIPer1000[[#This Row],[No.Per1000Adults]]-H381</f>
        <v>42.746292093849888</v>
      </c>
      <c r="J382" t="s">
        <v>67</v>
      </c>
      <c r="K382" t="s">
        <v>68</v>
      </c>
    </row>
    <row r="383" spans="1:11" hidden="1" x14ac:dyDescent="0.25">
      <c r="A383" t="s">
        <v>5</v>
      </c>
      <c r="B383" t="s">
        <v>6</v>
      </c>
      <c r="C383" t="s">
        <v>21</v>
      </c>
      <c r="D383" t="s">
        <v>22</v>
      </c>
      <c r="E383">
        <v>2022</v>
      </c>
      <c r="F383" t="s">
        <v>88</v>
      </c>
      <c r="G383" t="s">
        <v>89</v>
      </c>
      <c r="H383" s="1">
        <v>1837.6852076519201</v>
      </c>
      <c r="I383">
        <f>_FIIPer1000[[#This Row],[No.Per1000Adults]]-H382</f>
        <v>144.09911434972014</v>
      </c>
      <c r="J383" t="s">
        <v>67</v>
      </c>
      <c r="K383" t="s">
        <v>68</v>
      </c>
    </row>
    <row r="384" spans="1:11" hidden="1" x14ac:dyDescent="0.25">
      <c r="A384" t="s">
        <v>5</v>
      </c>
      <c r="B384" t="s">
        <v>6</v>
      </c>
      <c r="C384" t="s">
        <v>21</v>
      </c>
      <c r="D384" t="s">
        <v>22</v>
      </c>
      <c r="E384">
        <v>2023</v>
      </c>
      <c r="F384" t="s">
        <v>88</v>
      </c>
      <c r="G384" t="s">
        <v>89</v>
      </c>
      <c r="H384" s="1">
        <v>1984.2500181650701</v>
      </c>
      <c r="I384">
        <f>_FIIPer1000[[#This Row],[No.Per1000Adults]]-H383</f>
        <v>146.56481051314995</v>
      </c>
      <c r="J384" t="s">
        <v>67</v>
      </c>
      <c r="K384" t="s">
        <v>68</v>
      </c>
    </row>
    <row r="385" spans="1:11" hidden="1" x14ac:dyDescent="0.25">
      <c r="A385" t="s">
        <v>5</v>
      </c>
      <c r="B385" t="s">
        <v>6</v>
      </c>
      <c r="C385" t="s">
        <v>21</v>
      </c>
      <c r="D385" t="s">
        <v>22</v>
      </c>
      <c r="E385">
        <v>2024</v>
      </c>
      <c r="F385" t="s">
        <v>88</v>
      </c>
      <c r="G385" t="s">
        <v>89</v>
      </c>
      <c r="H385" s="2"/>
      <c r="J385" t="s">
        <v>67</v>
      </c>
      <c r="K385" t="s">
        <v>68</v>
      </c>
    </row>
    <row r="386" spans="1:11" hidden="1" x14ac:dyDescent="0.25">
      <c r="A386" t="s">
        <v>5</v>
      </c>
      <c r="B386" t="s">
        <v>6</v>
      </c>
      <c r="C386" t="s">
        <v>25</v>
      </c>
      <c r="D386" t="s">
        <v>26</v>
      </c>
      <c r="E386">
        <v>2019</v>
      </c>
      <c r="F386" t="s">
        <v>88</v>
      </c>
      <c r="G386" t="s">
        <v>89</v>
      </c>
      <c r="H386" s="1">
        <v>866.20040686506502</v>
      </c>
      <c r="J386" t="s">
        <v>67</v>
      </c>
      <c r="K386" t="s">
        <v>68</v>
      </c>
    </row>
    <row r="387" spans="1:11" hidden="1" x14ac:dyDescent="0.25">
      <c r="A387" t="s">
        <v>5</v>
      </c>
      <c r="B387" t="s">
        <v>6</v>
      </c>
      <c r="C387" t="s">
        <v>25</v>
      </c>
      <c r="D387" t="s">
        <v>26</v>
      </c>
      <c r="E387">
        <v>2020</v>
      </c>
      <c r="F387" t="s">
        <v>88</v>
      </c>
      <c r="G387" t="s">
        <v>89</v>
      </c>
      <c r="H387" s="1">
        <v>1001.3972414374</v>
      </c>
      <c r="I387">
        <f>_FIIPer1000[[#This Row],[No.Per1000Adults]]-H386</f>
        <v>135.19683457233498</v>
      </c>
      <c r="J387" t="s">
        <v>67</v>
      </c>
      <c r="K387" t="s">
        <v>68</v>
      </c>
    </row>
    <row r="388" spans="1:11" hidden="1" x14ac:dyDescent="0.25">
      <c r="A388" t="s">
        <v>5</v>
      </c>
      <c r="B388" t="s">
        <v>6</v>
      </c>
      <c r="C388" t="s">
        <v>25</v>
      </c>
      <c r="D388" t="s">
        <v>26</v>
      </c>
      <c r="E388">
        <v>2021</v>
      </c>
      <c r="F388" t="s">
        <v>88</v>
      </c>
      <c r="G388" t="s">
        <v>89</v>
      </c>
      <c r="H388" s="1">
        <v>1074.3923566675101</v>
      </c>
      <c r="I388">
        <f>_FIIPer1000[[#This Row],[No.Per1000Adults]]-H387</f>
        <v>72.995115230110059</v>
      </c>
      <c r="J388" t="s">
        <v>67</v>
      </c>
      <c r="K388" t="s">
        <v>68</v>
      </c>
    </row>
    <row r="389" spans="1:11" hidden="1" x14ac:dyDescent="0.25">
      <c r="A389" t="s">
        <v>5</v>
      </c>
      <c r="B389" t="s">
        <v>6</v>
      </c>
      <c r="C389" t="s">
        <v>25</v>
      </c>
      <c r="D389" t="s">
        <v>26</v>
      </c>
      <c r="E389">
        <v>2022</v>
      </c>
      <c r="F389" t="s">
        <v>88</v>
      </c>
      <c r="G389" t="s">
        <v>89</v>
      </c>
      <c r="H389" s="1">
        <v>1206.8800912196</v>
      </c>
      <c r="I389">
        <f>_FIIPer1000[[#This Row],[No.Per1000Adults]]-H388</f>
        <v>132.48773455208993</v>
      </c>
      <c r="J389" t="s">
        <v>67</v>
      </c>
      <c r="K389" t="s">
        <v>68</v>
      </c>
    </row>
    <row r="390" spans="1:11" hidden="1" x14ac:dyDescent="0.25">
      <c r="A390" t="s">
        <v>5</v>
      </c>
      <c r="B390" t="s">
        <v>6</v>
      </c>
      <c r="C390" t="s">
        <v>25</v>
      </c>
      <c r="D390" t="s">
        <v>26</v>
      </c>
      <c r="E390">
        <v>2023</v>
      </c>
      <c r="F390" t="s">
        <v>88</v>
      </c>
      <c r="G390" t="s">
        <v>89</v>
      </c>
      <c r="H390" s="1">
        <v>1333.5159465720501</v>
      </c>
      <c r="I390">
        <f>_FIIPer1000[[#This Row],[No.Per1000Adults]]-H389</f>
        <v>126.63585535245011</v>
      </c>
      <c r="J390" t="s">
        <v>67</v>
      </c>
      <c r="K390" t="s">
        <v>68</v>
      </c>
    </row>
    <row r="391" spans="1:11" hidden="1" x14ac:dyDescent="0.25">
      <c r="A391" t="s">
        <v>5</v>
      </c>
      <c r="B391" t="s">
        <v>6</v>
      </c>
      <c r="C391" t="s">
        <v>25</v>
      </c>
      <c r="D391" t="s">
        <v>26</v>
      </c>
      <c r="E391">
        <v>2024</v>
      </c>
      <c r="F391" t="s">
        <v>88</v>
      </c>
      <c r="G391" t="s">
        <v>89</v>
      </c>
      <c r="H391" s="1">
        <v>1504.7860051217899</v>
      </c>
      <c r="I391">
        <f>_FIIPer1000[[#This Row],[No.Per1000Adults]]-H390</f>
        <v>171.27005854973982</v>
      </c>
      <c r="J391" t="s">
        <v>67</v>
      </c>
      <c r="K391" t="s">
        <v>68</v>
      </c>
    </row>
    <row r="392" spans="1:11" hidden="1" x14ac:dyDescent="0.25">
      <c r="A392" t="s">
        <v>5</v>
      </c>
      <c r="B392" t="s">
        <v>6</v>
      </c>
      <c r="C392" t="s">
        <v>27</v>
      </c>
      <c r="D392" t="s">
        <v>28</v>
      </c>
      <c r="E392">
        <v>2019</v>
      </c>
      <c r="F392" t="s">
        <v>88</v>
      </c>
      <c r="G392" t="s">
        <v>89</v>
      </c>
      <c r="H392" s="1">
        <v>1101.1928617247299</v>
      </c>
      <c r="J392" t="s">
        <v>67</v>
      </c>
      <c r="K392" t="s">
        <v>68</v>
      </c>
    </row>
    <row r="393" spans="1:11" hidden="1" x14ac:dyDescent="0.25">
      <c r="A393" t="s">
        <v>5</v>
      </c>
      <c r="B393" t="s">
        <v>6</v>
      </c>
      <c r="C393" t="s">
        <v>27</v>
      </c>
      <c r="D393" t="s">
        <v>28</v>
      </c>
      <c r="E393">
        <v>2020</v>
      </c>
      <c r="F393" t="s">
        <v>88</v>
      </c>
      <c r="G393" t="s">
        <v>89</v>
      </c>
      <c r="H393" s="1">
        <v>1146.7278352855201</v>
      </c>
      <c r="I393">
        <f>_FIIPer1000[[#This Row],[No.Per1000Adults]]-H392</f>
        <v>45.534973560790149</v>
      </c>
      <c r="J393" t="s">
        <v>67</v>
      </c>
      <c r="K393" t="s">
        <v>68</v>
      </c>
    </row>
    <row r="394" spans="1:11" hidden="1" x14ac:dyDescent="0.25">
      <c r="A394" t="s">
        <v>5</v>
      </c>
      <c r="B394" t="s">
        <v>6</v>
      </c>
      <c r="C394" t="s">
        <v>27</v>
      </c>
      <c r="D394" t="s">
        <v>28</v>
      </c>
      <c r="E394">
        <v>2021</v>
      </c>
      <c r="F394" t="s">
        <v>88</v>
      </c>
      <c r="G394" t="s">
        <v>89</v>
      </c>
      <c r="H394" s="1">
        <v>1179.3230569539801</v>
      </c>
      <c r="I394">
        <f>_FIIPer1000[[#This Row],[No.Per1000Adults]]-H393</f>
        <v>32.595221668459999</v>
      </c>
      <c r="J394" t="s">
        <v>67</v>
      </c>
      <c r="K394" t="s">
        <v>68</v>
      </c>
    </row>
    <row r="395" spans="1:11" hidden="1" x14ac:dyDescent="0.25">
      <c r="A395" t="s">
        <v>5</v>
      </c>
      <c r="B395" t="s">
        <v>6</v>
      </c>
      <c r="C395" t="s">
        <v>27</v>
      </c>
      <c r="D395" t="s">
        <v>28</v>
      </c>
      <c r="E395">
        <v>2022</v>
      </c>
      <c r="F395" t="s">
        <v>88</v>
      </c>
      <c r="G395" t="s">
        <v>89</v>
      </c>
      <c r="H395" s="1">
        <v>1251.32480358014</v>
      </c>
      <c r="I395">
        <f>_FIIPer1000[[#This Row],[No.Per1000Adults]]-H394</f>
        <v>72.001746626159957</v>
      </c>
      <c r="J395" t="s">
        <v>67</v>
      </c>
      <c r="K395" t="s">
        <v>68</v>
      </c>
    </row>
    <row r="396" spans="1:11" hidden="1" x14ac:dyDescent="0.25">
      <c r="A396" t="s">
        <v>5</v>
      </c>
      <c r="B396" t="s">
        <v>6</v>
      </c>
      <c r="C396" t="s">
        <v>27</v>
      </c>
      <c r="D396" t="s">
        <v>28</v>
      </c>
      <c r="E396">
        <v>2023</v>
      </c>
      <c r="F396" t="s">
        <v>88</v>
      </c>
      <c r="G396" t="s">
        <v>89</v>
      </c>
      <c r="H396" s="1">
        <v>1301.18143005972</v>
      </c>
      <c r="I396">
        <f>_FIIPer1000[[#This Row],[No.Per1000Adults]]-H395</f>
        <v>49.856626479579973</v>
      </c>
      <c r="J396" t="s">
        <v>67</v>
      </c>
      <c r="K396" t="s">
        <v>68</v>
      </c>
    </row>
    <row r="397" spans="1:11" hidden="1" x14ac:dyDescent="0.25">
      <c r="A397" t="s">
        <v>5</v>
      </c>
      <c r="B397" t="s">
        <v>6</v>
      </c>
      <c r="C397" t="s">
        <v>27</v>
      </c>
      <c r="D397" t="s">
        <v>28</v>
      </c>
      <c r="E397">
        <v>2024</v>
      </c>
      <c r="F397" t="s">
        <v>88</v>
      </c>
      <c r="G397" t="s">
        <v>89</v>
      </c>
      <c r="H397" s="1">
        <v>1248.32541946674</v>
      </c>
      <c r="I397">
        <f>_FIIPer1000[[#This Row],[No.Per1000Adults]]-H396</f>
        <v>-52.856010592980056</v>
      </c>
      <c r="J397" t="s">
        <v>67</v>
      </c>
      <c r="K397" t="s">
        <v>68</v>
      </c>
    </row>
    <row r="398" spans="1:11" hidden="1" x14ac:dyDescent="0.25">
      <c r="A398" t="s">
        <v>5</v>
      </c>
      <c r="B398" t="s">
        <v>6</v>
      </c>
      <c r="C398" t="s">
        <v>33</v>
      </c>
      <c r="D398" t="s">
        <v>34</v>
      </c>
      <c r="E398">
        <v>2019</v>
      </c>
      <c r="F398" t="s">
        <v>88</v>
      </c>
      <c r="G398" t="s">
        <v>89</v>
      </c>
      <c r="H398" s="8">
        <v>1374.35464783968</v>
      </c>
      <c r="J398" t="s">
        <v>67</v>
      </c>
      <c r="K398" t="s">
        <v>68</v>
      </c>
    </row>
    <row r="399" spans="1:11" hidden="1" x14ac:dyDescent="0.25">
      <c r="A399" t="s">
        <v>5</v>
      </c>
      <c r="B399" t="s">
        <v>6</v>
      </c>
      <c r="C399" t="s">
        <v>33</v>
      </c>
      <c r="D399" t="s">
        <v>34</v>
      </c>
      <c r="E399">
        <v>2020</v>
      </c>
      <c r="F399" t="s">
        <v>88</v>
      </c>
      <c r="G399" t="s">
        <v>89</v>
      </c>
      <c r="H399" s="8">
        <v>1681.1994210069599</v>
      </c>
      <c r="I399">
        <f>_FIIPer1000[[#This Row],[No.Per1000Adults]]-H398</f>
        <v>306.84477316727998</v>
      </c>
      <c r="J399" t="s">
        <v>67</v>
      </c>
      <c r="K399" t="s">
        <v>68</v>
      </c>
    </row>
    <row r="400" spans="1:11" hidden="1" x14ac:dyDescent="0.25">
      <c r="A400" t="s">
        <v>5</v>
      </c>
      <c r="B400" t="s">
        <v>6</v>
      </c>
      <c r="C400" t="s">
        <v>33</v>
      </c>
      <c r="D400" t="s">
        <v>34</v>
      </c>
      <c r="E400">
        <v>2021</v>
      </c>
      <c r="F400" t="s">
        <v>88</v>
      </c>
      <c r="G400" t="s">
        <v>89</v>
      </c>
      <c r="H400" s="8">
        <v>1579.16478171739</v>
      </c>
      <c r="I400">
        <f>_FIIPer1000[[#This Row],[No.Per1000Adults]]-H399</f>
        <v>-102.0346392895699</v>
      </c>
      <c r="J400" t="s">
        <v>67</v>
      </c>
      <c r="K400" t="s">
        <v>68</v>
      </c>
    </row>
    <row r="401" spans="1:11" hidden="1" x14ac:dyDescent="0.25">
      <c r="A401" t="s">
        <v>5</v>
      </c>
      <c r="B401" t="s">
        <v>6</v>
      </c>
      <c r="C401" t="s">
        <v>33</v>
      </c>
      <c r="D401" t="s">
        <v>34</v>
      </c>
      <c r="E401">
        <v>2022</v>
      </c>
      <c r="F401" t="s">
        <v>88</v>
      </c>
      <c r="G401" t="s">
        <v>89</v>
      </c>
      <c r="H401" s="8">
        <v>1620.07767274096</v>
      </c>
      <c r="I401">
        <f>_FIIPer1000[[#This Row],[No.Per1000Adults]]-H400</f>
        <v>40.912891023569955</v>
      </c>
      <c r="J401" t="s">
        <v>67</v>
      </c>
      <c r="K401" t="s">
        <v>68</v>
      </c>
    </row>
    <row r="402" spans="1:11" hidden="1" x14ac:dyDescent="0.25">
      <c r="A402" t="s">
        <v>5</v>
      </c>
      <c r="B402" t="s">
        <v>6</v>
      </c>
      <c r="C402" t="s">
        <v>33</v>
      </c>
      <c r="D402" t="s">
        <v>34</v>
      </c>
      <c r="E402">
        <v>2023</v>
      </c>
      <c r="F402" t="s">
        <v>88</v>
      </c>
      <c r="G402" t="s">
        <v>89</v>
      </c>
      <c r="H402" s="8">
        <v>2010.24395131403</v>
      </c>
      <c r="I402">
        <f>_FIIPer1000[[#This Row],[No.Per1000Adults]]-H401</f>
        <v>390.16627857307003</v>
      </c>
      <c r="J402" t="s">
        <v>67</v>
      </c>
      <c r="K402" t="s">
        <v>68</v>
      </c>
    </row>
    <row r="403" spans="1:11" hidden="1" x14ac:dyDescent="0.25">
      <c r="A403" t="s">
        <v>5</v>
      </c>
      <c r="B403" t="s">
        <v>6</v>
      </c>
      <c r="C403" t="s">
        <v>33</v>
      </c>
      <c r="D403" t="s">
        <v>34</v>
      </c>
      <c r="E403">
        <v>2024</v>
      </c>
      <c r="F403" t="s">
        <v>88</v>
      </c>
      <c r="G403" t="s">
        <v>89</v>
      </c>
      <c r="H403" s="8">
        <v>2347.18337233281</v>
      </c>
      <c r="I403">
        <f>_FIIPer1000[[#This Row],[No.Per1000Adults]]-H402</f>
        <v>336.93942101877997</v>
      </c>
      <c r="J403" t="s">
        <v>67</v>
      </c>
      <c r="K403" t="s">
        <v>68</v>
      </c>
    </row>
    <row r="404" spans="1:11" hidden="1" x14ac:dyDescent="0.25">
      <c r="A404" t="s">
        <v>5</v>
      </c>
      <c r="B404" t="s">
        <v>6</v>
      </c>
      <c r="C404" t="s">
        <v>7</v>
      </c>
      <c r="D404" t="s">
        <v>8</v>
      </c>
      <c r="E404">
        <v>2019</v>
      </c>
      <c r="F404" t="s">
        <v>88</v>
      </c>
      <c r="G404" t="s">
        <v>89</v>
      </c>
      <c r="H404" s="3">
        <v>1412.9547787337201</v>
      </c>
      <c r="J404" t="s">
        <v>67</v>
      </c>
      <c r="K404" t="s">
        <v>68</v>
      </c>
    </row>
    <row r="405" spans="1:11" hidden="1" x14ac:dyDescent="0.25">
      <c r="A405" t="s">
        <v>5</v>
      </c>
      <c r="B405" t="s">
        <v>6</v>
      </c>
      <c r="C405" t="s">
        <v>7</v>
      </c>
      <c r="D405" t="s">
        <v>8</v>
      </c>
      <c r="E405">
        <v>2020</v>
      </c>
      <c r="F405" t="s">
        <v>88</v>
      </c>
      <c r="G405" t="s">
        <v>89</v>
      </c>
      <c r="H405" s="3">
        <v>1460.5466815939701</v>
      </c>
      <c r="I405">
        <f>_FIIPer1000[[#This Row],[No.Per1000Adults]]-H404</f>
        <v>47.591902860250002</v>
      </c>
      <c r="J405" t="s">
        <v>67</v>
      </c>
      <c r="K405" t="s">
        <v>68</v>
      </c>
    </row>
    <row r="406" spans="1:11" hidden="1" x14ac:dyDescent="0.25">
      <c r="A406" t="s">
        <v>5</v>
      </c>
      <c r="B406" t="s">
        <v>6</v>
      </c>
      <c r="C406" t="s">
        <v>7</v>
      </c>
      <c r="D406" t="s">
        <v>8</v>
      </c>
      <c r="E406">
        <v>2021</v>
      </c>
      <c r="F406" t="s">
        <v>88</v>
      </c>
      <c r="G406" t="s">
        <v>89</v>
      </c>
      <c r="H406" s="3">
        <v>1710.06668397559</v>
      </c>
      <c r="I406">
        <f>_FIIPer1000[[#This Row],[No.Per1000Adults]]-H405</f>
        <v>249.52000238161986</v>
      </c>
      <c r="J406" t="s">
        <v>67</v>
      </c>
      <c r="K406" t="s">
        <v>68</v>
      </c>
    </row>
    <row r="407" spans="1:11" hidden="1" x14ac:dyDescent="0.25">
      <c r="A407" t="s">
        <v>5</v>
      </c>
      <c r="B407" t="s">
        <v>6</v>
      </c>
      <c r="C407" t="s">
        <v>7</v>
      </c>
      <c r="D407" t="s">
        <v>8</v>
      </c>
      <c r="E407">
        <v>2022</v>
      </c>
      <c r="F407" t="s">
        <v>88</v>
      </c>
      <c r="G407" t="s">
        <v>89</v>
      </c>
      <c r="H407" s="3">
        <v>1755.4982324355501</v>
      </c>
      <c r="I407">
        <f>_FIIPer1000[[#This Row],[No.Per1000Adults]]-H406</f>
        <v>45.43154845996014</v>
      </c>
      <c r="J407" t="s">
        <v>67</v>
      </c>
      <c r="K407" t="s">
        <v>68</v>
      </c>
    </row>
    <row r="408" spans="1:11" hidden="1" x14ac:dyDescent="0.25">
      <c r="A408" t="s">
        <v>5</v>
      </c>
      <c r="B408" t="s">
        <v>6</v>
      </c>
      <c r="C408" t="s">
        <v>7</v>
      </c>
      <c r="D408" t="s">
        <v>8</v>
      </c>
      <c r="E408">
        <v>2023</v>
      </c>
      <c r="F408" t="s">
        <v>88</v>
      </c>
      <c r="G408" t="s">
        <v>89</v>
      </c>
      <c r="H408" s="3">
        <v>1867.0517718533999</v>
      </c>
      <c r="I408">
        <f>_FIIPer1000[[#This Row],[No.Per1000Adults]]-H407</f>
        <v>111.55353941784983</v>
      </c>
      <c r="J408" t="s">
        <v>67</v>
      </c>
      <c r="K408" t="s">
        <v>68</v>
      </c>
    </row>
    <row r="409" spans="1:11" hidden="1" x14ac:dyDescent="0.25">
      <c r="A409" t="s">
        <v>5</v>
      </c>
      <c r="B409" t="s">
        <v>6</v>
      </c>
      <c r="C409" t="s">
        <v>7</v>
      </c>
      <c r="D409" t="s">
        <v>8</v>
      </c>
      <c r="E409">
        <v>2024</v>
      </c>
      <c r="F409" t="s">
        <v>88</v>
      </c>
      <c r="G409" t="s">
        <v>89</v>
      </c>
      <c r="H409" s="3">
        <v>1866.9966823904001</v>
      </c>
      <c r="I409">
        <f>_FIIPer1000[[#This Row],[No.Per1000Adults]]-H408</f>
        <v>-5.5089462999831085E-2</v>
      </c>
      <c r="J409" t="s">
        <v>67</v>
      </c>
      <c r="K409" t="s">
        <v>68</v>
      </c>
    </row>
    <row r="410" spans="1:11" hidden="1" x14ac:dyDescent="0.25">
      <c r="A410" t="s">
        <v>5</v>
      </c>
      <c r="B410" t="s">
        <v>6</v>
      </c>
      <c r="C410" t="s">
        <v>41</v>
      </c>
      <c r="D410" t="s">
        <v>42</v>
      </c>
      <c r="E410">
        <v>2019</v>
      </c>
      <c r="F410" t="s">
        <v>88</v>
      </c>
      <c r="G410" t="s">
        <v>89</v>
      </c>
      <c r="J410" t="s">
        <v>67</v>
      </c>
      <c r="K410" t="s">
        <v>68</v>
      </c>
    </row>
    <row r="411" spans="1:11" hidden="1" x14ac:dyDescent="0.25">
      <c r="A411" t="s">
        <v>5</v>
      </c>
      <c r="B411" t="s">
        <v>6</v>
      </c>
      <c r="C411" t="s">
        <v>41</v>
      </c>
      <c r="D411" t="s">
        <v>42</v>
      </c>
      <c r="E411">
        <v>2020</v>
      </c>
      <c r="F411" t="s">
        <v>88</v>
      </c>
      <c r="G411" t="s">
        <v>89</v>
      </c>
      <c r="J411" t="s">
        <v>67</v>
      </c>
      <c r="K411" t="s">
        <v>68</v>
      </c>
    </row>
    <row r="412" spans="1:11" hidden="1" x14ac:dyDescent="0.25">
      <c r="A412" t="s">
        <v>5</v>
      </c>
      <c r="B412" t="s">
        <v>6</v>
      </c>
      <c r="C412" t="s">
        <v>41</v>
      </c>
      <c r="D412" t="s">
        <v>42</v>
      </c>
      <c r="E412">
        <v>2021</v>
      </c>
      <c r="F412" t="s">
        <v>88</v>
      </c>
      <c r="G412" t="s">
        <v>89</v>
      </c>
      <c r="J412" t="s">
        <v>67</v>
      </c>
      <c r="K412" t="s">
        <v>68</v>
      </c>
    </row>
    <row r="413" spans="1:11" hidden="1" x14ac:dyDescent="0.25">
      <c r="A413" t="s">
        <v>5</v>
      </c>
      <c r="B413" t="s">
        <v>6</v>
      </c>
      <c r="C413" t="s">
        <v>41</v>
      </c>
      <c r="D413" t="s">
        <v>42</v>
      </c>
      <c r="E413">
        <v>2022</v>
      </c>
      <c r="F413" t="s">
        <v>88</v>
      </c>
      <c r="G413" t="s">
        <v>89</v>
      </c>
      <c r="J413" t="s">
        <v>67</v>
      </c>
      <c r="K413" t="s">
        <v>68</v>
      </c>
    </row>
    <row r="414" spans="1:11" hidden="1" x14ac:dyDescent="0.25">
      <c r="A414" t="s">
        <v>5</v>
      </c>
      <c r="B414" t="s">
        <v>6</v>
      </c>
      <c r="C414" t="s">
        <v>41</v>
      </c>
      <c r="D414" t="s">
        <v>42</v>
      </c>
      <c r="E414">
        <v>2023</v>
      </c>
      <c r="F414" t="s">
        <v>88</v>
      </c>
      <c r="G414" t="s">
        <v>89</v>
      </c>
      <c r="J414" t="s">
        <v>67</v>
      </c>
      <c r="K414" t="s">
        <v>68</v>
      </c>
    </row>
    <row r="415" spans="1:11" hidden="1" x14ac:dyDescent="0.25">
      <c r="A415" t="s">
        <v>5</v>
      </c>
      <c r="B415" t="s">
        <v>6</v>
      </c>
      <c r="C415" t="s">
        <v>41</v>
      </c>
      <c r="D415" t="s">
        <v>42</v>
      </c>
      <c r="E415">
        <v>2024</v>
      </c>
      <c r="F415" t="s">
        <v>88</v>
      </c>
      <c r="G415" t="s">
        <v>89</v>
      </c>
      <c r="J415" t="s">
        <v>67</v>
      </c>
      <c r="K415" t="s">
        <v>68</v>
      </c>
    </row>
    <row r="416" spans="1:11" hidden="1" x14ac:dyDescent="0.25">
      <c r="A416" t="s">
        <v>45</v>
      </c>
      <c r="B416" t="s">
        <v>46</v>
      </c>
      <c r="C416" t="s">
        <v>47</v>
      </c>
      <c r="D416" t="s">
        <v>48</v>
      </c>
      <c r="E416">
        <v>2019</v>
      </c>
      <c r="F416" t="s">
        <v>88</v>
      </c>
      <c r="G416" t="s">
        <v>89</v>
      </c>
      <c r="H416" s="1">
        <v>1020.90738700681</v>
      </c>
      <c r="J416" t="s">
        <v>67</v>
      </c>
      <c r="K416" t="s">
        <v>68</v>
      </c>
    </row>
    <row r="417" spans="1:11" hidden="1" x14ac:dyDescent="0.25">
      <c r="A417" t="s">
        <v>45</v>
      </c>
      <c r="B417" t="s">
        <v>46</v>
      </c>
      <c r="C417" t="s">
        <v>47</v>
      </c>
      <c r="D417" t="s">
        <v>48</v>
      </c>
      <c r="E417">
        <v>2020</v>
      </c>
      <c r="F417" t="s">
        <v>88</v>
      </c>
      <c r="G417" t="s">
        <v>89</v>
      </c>
      <c r="H417" s="1">
        <v>1156.0948516723599</v>
      </c>
      <c r="I417">
        <f>_FIIPer1000[[#This Row],[No.Per1000Adults]]-H416</f>
        <v>135.1874646655499</v>
      </c>
      <c r="J417" t="s">
        <v>67</v>
      </c>
      <c r="K417" t="s">
        <v>68</v>
      </c>
    </row>
    <row r="418" spans="1:11" hidden="1" x14ac:dyDescent="0.25">
      <c r="A418" t="s">
        <v>45</v>
      </c>
      <c r="B418" t="s">
        <v>46</v>
      </c>
      <c r="C418" t="s">
        <v>47</v>
      </c>
      <c r="D418" t="s">
        <v>48</v>
      </c>
      <c r="E418">
        <v>2021</v>
      </c>
      <c r="F418" t="s">
        <v>88</v>
      </c>
      <c r="G418" t="s">
        <v>89</v>
      </c>
      <c r="H418" s="1">
        <v>1282.7840903475301</v>
      </c>
      <c r="I418">
        <f>_FIIPer1000[[#This Row],[No.Per1000Adults]]-H417</f>
        <v>126.68923867517015</v>
      </c>
      <c r="J418" t="s">
        <v>67</v>
      </c>
      <c r="K418" t="s">
        <v>68</v>
      </c>
    </row>
    <row r="419" spans="1:11" hidden="1" x14ac:dyDescent="0.25">
      <c r="A419" t="s">
        <v>45</v>
      </c>
      <c r="B419" t="s">
        <v>46</v>
      </c>
      <c r="C419" t="s">
        <v>47</v>
      </c>
      <c r="D419" t="s">
        <v>48</v>
      </c>
      <c r="E419">
        <v>2022</v>
      </c>
      <c r="F419" t="s">
        <v>88</v>
      </c>
      <c r="G419" t="s">
        <v>89</v>
      </c>
      <c r="H419" s="1">
        <v>1719.0818262647699</v>
      </c>
      <c r="I419">
        <f>_FIIPer1000[[#This Row],[No.Per1000Adults]]-H418</f>
        <v>436.29773591723983</v>
      </c>
      <c r="J419" t="s">
        <v>67</v>
      </c>
      <c r="K419" t="s">
        <v>68</v>
      </c>
    </row>
    <row r="420" spans="1:11" hidden="1" x14ac:dyDescent="0.25">
      <c r="A420" t="s">
        <v>45</v>
      </c>
      <c r="B420" t="s">
        <v>46</v>
      </c>
      <c r="C420" t="s">
        <v>47</v>
      </c>
      <c r="D420" t="s">
        <v>48</v>
      </c>
      <c r="E420">
        <v>2023</v>
      </c>
      <c r="F420" t="s">
        <v>88</v>
      </c>
      <c r="G420" t="s">
        <v>89</v>
      </c>
      <c r="H420" s="1">
        <v>1722.05149560172</v>
      </c>
      <c r="I420">
        <f>_FIIPer1000[[#This Row],[No.Per1000Adults]]-H419</f>
        <v>2.969669336950119</v>
      </c>
      <c r="J420" t="s">
        <v>67</v>
      </c>
      <c r="K420" t="s">
        <v>68</v>
      </c>
    </row>
    <row r="421" spans="1:11" hidden="1" x14ac:dyDescent="0.25">
      <c r="A421" t="s">
        <v>45</v>
      </c>
      <c r="B421" t="s">
        <v>46</v>
      </c>
      <c r="C421" t="s">
        <v>47</v>
      </c>
      <c r="D421" t="s">
        <v>48</v>
      </c>
      <c r="E421">
        <v>2024</v>
      </c>
      <c r="F421" t="s">
        <v>88</v>
      </c>
      <c r="G421" t="s">
        <v>89</v>
      </c>
      <c r="H421" s="1">
        <v>1722.57577893042</v>
      </c>
      <c r="I421">
        <f>_FIIPer1000[[#This Row],[No.Per1000Adults]]-H420</f>
        <v>0.52428332869999394</v>
      </c>
      <c r="J421" t="s">
        <v>67</v>
      </c>
      <c r="K421" t="s">
        <v>68</v>
      </c>
    </row>
    <row r="422" spans="1:11" hidden="1" x14ac:dyDescent="0.25">
      <c r="A422" t="s">
        <v>45</v>
      </c>
      <c r="B422" t="s">
        <v>46</v>
      </c>
      <c r="C422" t="s">
        <v>49</v>
      </c>
      <c r="D422" t="s">
        <v>50</v>
      </c>
      <c r="E422">
        <v>2019</v>
      </c>
      <c r="F422" t="s">
        <v>88</v>
      </c>
      <c r="G422" t="s">
        <v>89</v>
      </c>
      <c r="H422" s="1">
        <v>1170.3964697625299</v>
      </c>
      <c r="J422" t="s">
        <v>67</v>
      </c>
      <c r="K422" t="s">
        <v>68</v>
      </c>
    </row>
    <row r="423" spans="1:11" hidden="1" x14ac:dyDescent="0.25">
      <c r="A423" t="s">
        <v>45</v>
      </c>
      <c r="B423" t="s">
        <v>46</v>
      </c>
      <c r="C423" t="s">
        <v>49</v>
      </c>
      <c r="D423" t="s">
        <v>50</v>
      </c>
      <c r="E423">
        <v>2020</v>
      </c>
      <c r="F423" t="s">
        <v>88</v>
      </c>
      <c r="G423" t="s">
        <v>89</v>
      </c>
      <c r="H423" s="1">
        <v>1167.30757669019</v>
      </c>
      <c r="I423">
        <f>_FIIPer1000[[#This Row],[No.Per1000Adults]]-H422</f>
        <v>-3.0888930723399426</v>
      </c>
      <c r="J423" t="s">
        <v>67</v>
      </c>
      <c r="K423" t="s">
        <v>68</v>
      </c>
    </row>
    <row r="424" spans="1:11" hidden="1" x14ac:dyDescent="0.25">
      <c r="A424" t="s">
        <v>45</v>
      </c>
      <c r="B424" t="s">
        <v>46</v>
      </c>
      <c r="C424" t="s">
        <v>49</v>
      </c>
      <c r="D424" t="s">
        <v>50</v>
      </c>
      <c r="E424">
        <v>2021</v>
      </c>
      <c r="F424" t="s">
        <v>88</v>
      </c>
      <c r="G424" t="s">
        <v>89</v>
      </c>
      <c r="H424" s="1">
        <v>1174.91173175636</v>
      </c>
      <c r="I424">
        <f>_FIIPer1000[[#This Row],[No.Per1000Adults]]-H423</f>
        <v>7.6041550661700512</v>
      </c>
      <c r="J424" t="s">
        <v>67</v>
      </c>
      <c r="K424" t="s">
        <v>68</v>
      </c>
    </row>
    <row r="425" spans="1:11" hidden="1" x14ac:dyDescent="0.25">
      <c r="A425" t="s">
        <v>45</v>
      </c>
      <c r="B425" t="s">
        <v>46</v>
      </c>
      <c r="C425" t="s">
        <v>49</v>
      </c>
      <c r="D425" t="s">
        <v>50</v>
      </c>
      <c r="E425">
        <v>2022</v>
      </c>
      <c r="F425" t="s">
        <v>88</v>
      </c>
      <c r="G425" t="s">
        <v>89</v>
      </c>
      <c r="H425" s="1">
        <v>1203.23235254613</v>
      </c>
      <c r="I425">
        <f>_FIIPer1000[[#This Row],[No.Per1000Adults]]-H424</f>
        <v>28.320620789769919</v>
      </c>
      <c r="J425" t="s">
        <v>67</v>
      </c>
      <c r="K425" t="s">
        <v>68</v>
      </c>
    </row>
    <row r="426" spans="1:11" hidden="1" x14ac:dyDescent="0.25">
      <c r="A426" t="s">
        <v>45</v>
      </c>
      <c r="B426" t="s">
        <v>46</v>
      </c>
      <c r="C426" t="s">
        <v>49</v>
      </c>
      <c r="D426" t="s">
        <v>50</v>
      </c>
      <c r="E426">
        <v>2023</v>
      </c>
      <c r="F426" t="s">
        <v>88</v>
      </c>
      <c r="G426" t="s">
        <v>89</v>
      </c>
      <c r="H426" s="1">
        <v>1156.2353659468799</v>
      </c>
      <c r="I426">
        <f>_FIIPer1000[[#This Row],[No.Per1000Adults]]-H425</f>
        <v>-46.996986599250022</v>
      </c>
      <c r="J426" t="s">
        <v>67</v>
      </c>
      <c r="K426" t="s">
        <v>68</v>
      </c>
    </row>
    <row r="427" spans="1:11" hidden="1" x14ac:dyDescent="0.25">
      <c r="A427" t="s">
        <v>45</v>
      </c>
      <c r="B427" t="s">
        <v>46</v>
      </c>
      <c r="C427" t="s">
        <v>49</v>
      </c>
      <c r="D427" t="s">
        <v>50</v>
      </c>
      <c r="E427">
        <v>2024</v>
      </c>
      <c r="F427" t="s">
        <v>88</v>
      </c>
      <c r="G427" t="s">
        <v>89</v>
      </c>
      <c r="H427" s="1">
        <v>1249.8255149184399</v>
      </c>
      <c r="I427">
        <f>_FIIPer1000[[#This Row],[No.Per1000Adults]]-H426</f>
        <v>93.590148971559984</v>
      </c>
      <c r="J427" t="s">
        <v>67</v>
      </c>
      <c r="K427" t="s">
        <v>68</v>
      </c>
    </row>
    <row r="428" spans="1:11" hidden="1" x14ac:dyDescent="0.25">
      <c r="A428" t="s">
        <v>45</v>
      </c>
      <c r="B428" t="s">
        <v>46</v>
      </c>
      <c r="C428" t="s">
        <v>51</v>
      </c>
      <c r="D428" t="s">
        <v>52</v>
      </c>
      <c r="E428">
        <v>2019</v>
      </c>
      <c r="F428" t="s">
        <v>88</v>
      </c>
      <c r="G428" t="s">
        <v>89</v>
      </c>
      <c r="J428" t="s">
        <v>67</v>
      </c>
      <c r="K428" t="s">
        <v>68</v>
      </c>
    </row>
    <row r="429" spans="1:11" hidden="1" x14ac:dyDescent="0.25">
      <c r="A429" t="s">
        <v>45</v>
      </c>
      <c r="B429" t="s">
        <v>46</v>
      </c>
      <c r="C429" t="s">
        <v>51</v>
      </c>
      <c r="D429" t="s">
        <v>52</v>
      </c>
      <c r="E429">
        <v>2020</v>
      </c>
      <c r="F429" t="s">
        <v>88</v>
      </c>
      <c r="G429" t="s">
        <v>89</v>
      </c>
      <c r="J429" t="s">
        <v>67</v>
      </c>
      <c r="K429" t="s">
        <v>68</v>
      </c>
    </row>
    <row r="430" spans="1:11" hidden="1" x14ac:dyDescent="0.25">
      <c r="A430" t="s">
        <v>45</v>
      </c>
      <c r="B430" t="s">
        <v>46</v>
      </c>
      <c r="C430" t="s">
        <v>51</v>
      </c>
      <c r="D430" t="s">
        <v>52</v>
      </c>
      <c r="E430">
        <v>2021</v>
      </c>
      <c r="F430" t="s">
        <v>88</v>
      </c>
      <c r="G430" t="s">
        <v>89</v>
      </c>
      <c r="J430" t="s">
        <v>67</v>
      </c>
      <c r="K430" t="s">
        <v>68</v>
      </c>
    </row>
    <row r="431" spans="1:11" hidden="1" x14ac:dyDescent="0.25">
      <c r="A431" t="s">
        <v>45</v>
      </c>
      <c r="B431" t="s">
        <v>46</v>
      </c>
      <c r="C431" t="s">
        <v>51</v>
      </c>
      <c r="D431" t="s">
        <v>52</v>
      </c>
      <c r="E431">
        <v>2022</v>
      </c>
      <c r="F431" t="s">
        <v>88</v>
      </c>
      <c r="G431" t="s">
        <v>89</v>
      </c>
      <c r="J431" t="s">
        <v>67</v>
      </c>
      <c r="K431" t="s">
        <v>68</v>
      </c>
    </row>
    <row r="432" spans="1:11" hidden="1" x14ac:dyDescent="0.25">
      <c r="A432" t="s">
        <v>45</v>
      </c>
      <c r="B432" t="s">
        <v>46</v>
      </c>
      <c r="C432" t="s">
        <v>51</v>
      </c>
      <c r="D432" t="s">
        <v>52</v>
      </c>
      <c r="E432">
        <v>2023</v>
      </c>
      <c r="F432" t="s">
        <v>88</v>
      </c>
      <c r="G432" t="s">
        <v>89</v>
      </c>
      <c r="J432" t="s">
        <v>67</v>
      </c>
      <c r="K432" t="s">
        <v>68</v>
      </c>
    </row>
    <row r="433" spans="1:11" hidden="1" x14ac:dyDescent="0.25">
      <c r="A433" t="s">
        <v>45</v>
      </c>
      <c r="B433" t="s">
        <v>46</v>
      </c>
      <c r="C433" t="s">
        <v>51</v>
      </c>
      <c r="D433" t="s">
        <v>52</v>
      </c>
      <c r="E433">
        <v>2024</v>
      </c>
      <c r="F433" t="s">
        <v>88</v>
      </c>
      <c r="G433" t="s">
        <v>89</v>
      </c>
      <c r="J433" t="s">
        <v>67</v>
      </c>
      <c r="K433" t="s">
        <v>68</v>
      </c>
    </row>
    <row r="434" spans="1:11" hidden="1" x14ac:dyDescent="0.25">
      <c r="A434" t="s">
        <v>45</v>
      </c>
      <c r="B434" t="s">
        <v>46</v>
      </c>
      <c r="C434" t="s">
        <v>53</v>
      </c>
      <c r="D434" t="s">
        <v>54</v>
      </c>
      <c r="E434">
        <v>2019</v>
      </c>
      <c r="F434" t="s">
        <v>88</v>
      </c>
      <c r="G434" t="s">
        <v>89</v>
      </c>
      <c r="J434" t="s">
        <v>67</v>
      </c>
      <c r="K434" t="s">
        <v>68</v>
      </c>
    </row>
    <row r="435" spans="1:11" hidden="1" x14ac:dyDescent="0.25">
      <c r="A435" t="s">
        <v>45</v>
      </c>
      <c r="B435" t="s">
        <v>46</v>
      </c>
      <c r="C435" t="s">
        <v>53</v>
      </c>
      <c r="D435" t="s">
        <v>54</v>
      </c>
      <c r="E435">
        <v>2020</v>
      </c>
      <c r="F435" t="s">
        <v>88</v>
      </c>
      <c r="G435" t="s">
        <v>89</v>
      </c>
      <c r="J435" t="s">
        <v>67</v>
      </c>
      <c r="K435" t="s">
        <v>68</v>
      </c>
    </row>
    <row r="436" spans="1:11" hidden="1" x14ac:dyDescent="0.25">
      <c r="A436" t="s">
        <v>45</v>
      </c>
      <c r="B436" t="s">
        <v>46</v>
      </c>
      <c r="C436" t="s">
        <v>53</v>
      </c>
      <c r="D436" t="s">
        <v>54</v>
      </c>
      <c r="E436">
        <v>2021</v>
      </c>
      <c r="F436" t="s">
        <v>88</v>
      </c>
      <c r="G436" t="s">
        <v>89</v>
      </c>
      <c r="J436" t="s">
        <v>67</v>
      </c>
      <c r="K436" t="s">
        <v>68</v>
      </c>
    </row>
    <row r="437" spans="1:11" hidden="1" x14ac:dyDescent="0.25">
      <c r="A437" t="s">
        <v>45</v>
      </c>
      <c r="B437" t="s">
        <v>46</v>
      </c>
      <c r="C437" t="s">
        <v>53</v>
      </c>
      <c r="D437" t="s">
        <v>54</v>
      </c>
      <c r="E437">
        <v>2022</v>
      </c>
      <c r="F437" t="s">
        <v>88</v>
      </c>
      <c r="G437" t="s">
        <v>89</v>
      </c>
      <c r="J437" t="s">
        <v>67</v>
      </c>
      <c r="K437" t="s">
        <v>68</v>
      </c>
    </row>
    <row r="438" spans="1:11" hidden="1" x14ac:dyDescent="0.25">
      <c r="A438" t="s">
        <v>45</v>
      </c>
      <c r="B438" t="s">
        <v>46</v>
      </c>
      <c r="C438" t="s">
        <v>53</v>
      </c>
      <c r="D438" t="s">
        <v>54</v>
      </c>
      <c r="E438">
        <v>2023</v>
      </c>
      <c r="F438" t="s">
        <v>88</v>
      </c>
      <c r="G438" t="s">
        <v>89</v>
      </c>
      <c r="J438" t="s">
        <v>67</v>
      </c>
      <c r="K438" t="s">
        <v>68</v>
      </c>
    </row>
    <row r="439" spans="1:11" hidden="1" x14ac:dyDescent="0.25">
      <c r="A439" t="s">
        <v>45</v>
      </c>
      <c r="B439" t="s">
        <v>46</v>
      </c>
      <c r="C439" t="s">
        <v>53</v>
      </c>
      <c r="D439" t="s">
        <v>54</v>
      </c>
      <c r="E439">
        <v>2024</v>
      </c>
      <c r="F439" t="s">
        <v>88</v>
      </c>
      <c r="G439" t="s">
        <v>89</v>
      </c>
      <c r="J439" t="s">
        <v>67</v>
      </c>
      <c r="K439" t="s">
        <v>68</v>
      </c>
    </row>
    <row r="440" spans="1:11" hidden="1" x14ac:dyDescent="0.25">
      <c r="A440" t="s">
        <v>45</v>
      </c>
      <c r="B440" t="s">
        <v>46</v>
      </c>
      <c r="C440" t="s">
        <v>7</v>
      </c>
      <c r="D440" t="s">
        <v>8</v>
      </c>
      <c r="E440">
        <v>2019</v>
      </c>
      <c r="F440" t="s">
        <v>88</v>
      </c>
      <c r="G440" t="s">
        <v>89</v>
      </c>
      <c r="H440" s="3">
        <v>1412.9547787337201</v>
      </c>
      <c r="J440" t="s">
        <v>67</v>
      </c>
      <c r="K440" t="s">
        <v>68</v>
      </c>
    </row>
    <row r="441" spans="1:11" hidden="1" x14ac:dyDescent="0.25">
      <c r="A441" t="s">
        <v>45</v>
      </c>
      <c r="B441" t="s">
        <v>46</v>
      </c>
      <c r="C441" t="s">
        <v>7</v>
      </c>
      <c r="D441" t="s">
        <v>8</v>
      </c>
      <c r="E441">
        <v>2020</v>
      </c>
      <c r="F441" t="s">
        <v>88</v>
      </c>
      <c r="G441" t="s">
        <v>89</v>
      </c>
      <c r="H441" s="3">
        <v>1460.5466815939701</v>
      </c>
      <c r="I441">
        <f>_FIIPer1000[[#This Row],[No.Per1000Adults]]-H440</f>
        <v>47.591902860250002</v>
      </c>
      <c r="J441" t="s">
        <v>67</v>
      </c>
      <c r="K441" t="s">
        <v>68</v>
      </c>
    </row>
    <row r="442" spans="1:11" hidden="1" x14ac:dyDescent="0.25">
      <c r="A442" t="s">
        <v>45</v>
      </c>
      <c r="B442" t="s">
        <v>46</v>
      </c>
      <c r="C442" t="s">
        <v>7</v>
      </c>
      <c r="D442" t="s">
        <v>8</v>
      </c>
      <c r="E442">
        <v>2021</v>
      </c>
      <c r="F442" t="s">
        <v>88</v>
      </c>
      <c r="G442" t="s">
        <v>89</v>
      </c>
      <c r="H442" s="3">
        <v>1710.06668397559</v>
      </c>
      <c r="I442">
        <f>_FIIPer1000[[#This Row],[No.Per1000Adults]]-H441</f>
        <v>249.52000238161986</v>
      </c>
      <c r="J442" t="s">
        <v>67</v>
      </c>
      <c r="K442" t="s">
        <v>68</v>
      </c>
    </row>
    <row r="443" spans="1:11" hidden="1" x14ac:dyDescent="0.25">
      <c r="A443" t="s">
        <v>45</v>
      </c>
      <c r="B443" t="s">
        <v>46</v>
      </c>
      <c r="C443" t="s">
        <v>7</v>
      </c>
      <c r="D443" t="s">
        <v>8</v>
      </c>
      <c r="E443">
        <v>2022</v>
      </c>
      <c r="F443" t="s">
        <v>88</v>
      </c>
      <c r="G443" t="s">
        <v>89</v>
      </c>
      <c r="H443" s="3">
        <v>1755.4982324355501</v>
      </c>
      <c r="I443">
        <f>_FIIPer1000[[#This Row],[No.Per1000Adults]]-H442</f>
        <v>45.43154845996014</v>
      </c>
      <c r="J443" t="s">
        <v>67</v>
      </c>
      <c r="K443" t="s">
        <v>68</v>
      </c>
    </row>
    <row r="444" spans="1:11" hidden="1" x14ac:dyDescent="0.25">
      <c r="A444" t="s">
        <v>45</v>
      </c>
      <c r="B444" t="s">
        <v>46</v>
      </c>
      <c r="C444" t="s">
        <v>7</v>
      </c>
      <c r="D444" t="s">
        <v>8</v>
      </c>
      <c r="E444">
        <v>2023</v>
      </c>
      <c r="F444" t="s">
        <v>88</v>
      </c>
      <c r="G444" t="s">
        <v>89</v>
      </c>
      <c r="H444" s="3">
        <v>1867.0517718533999</v>
      </c>
      <c r="I444">
        <f>_FIIPer1000[[#This Row],[No.Per1000Adults]]-H443</f>
        <v>111.55353941784983</v>
      </c>
      <c r="J444" t="s">
        <v>67</v>
      </c>
      <c r="K444" t="s">
        <v>68</v>
      </c>
    </row>
    <row r="445" spans="1:11" hidden="1" x14ac:dyDescent="0.25">
      <c r="A445" t="s">
        <v>45</v>
      </c>
      <c r="B445" t="s">
        <v>46</v>
      </c>
      <c r="C445" t="s">
        <v>7</v>
      </c>
      <c r="D445" t="s">
        <v>8</v>
      </c>
      <c r="E445">
        <v>2024</v>
      </c>
      <c r="F445" t="s">
        <v>88</v>
      </c>
      <c r="G445" t="s">
        <v>89</v>
      </c>
      <c r="H445" s="3">
        <v>1866.9966823904001</v>
      </c>
      <c r="I445">
        <f>_FIIPer1000[[#This Row],[No.Per1000Adults]]-H444</f>
        <v>-5.5089462999831085E-2</v>
      </c>
      <c r="J445" t="s">
        <v>67</v>
      </c>
      <c r="K445" t="s">
        <v>68</v>
      </c>
    </row>
    <row r="446" spans="1:11" hidden="1" x14ac:dyDescent="0.25">
      <c r="A446" t="s">
        <v>45</v>
      </c>
      <c r="B446" t="s">
        <v>46</v>
      </c>
      <c r="C446" t="s">
        <v>55</v>
      </c>
      <c r="D446" t="s">
        <v>56</v>
      </c>
      <c r="E446">
        <v>2019</v>
      </c>
      <c r="F446" t="s">
        <v>88</v>
      </c>
      <c r="G446" t="s">
        <v>89</v>
      </c>
      <c r="H446" s="1">
        <v>957.87126750937705</v>
      </c>
      <c r="J446" t="s">
        <v>67</v>
      </c>
      <c r="K446" t="s">
        <v>68</v>
      </c>
    </row>
    <row r="447" spans="1:11" hidden="1" x14ac:dyDescent="0.25">
      <c r="A447" t="s">
        <v>45</v>
      </c>
      <c r="B447" t="s">
        <v>46</v>
      </c>
      <c r="C447" t="s">
        <v>55</v>
      </c>
      <c r="D447" t="s">
        <v>56</v>
      </c>
      <c r="E447">
        <v>2020</v>
      </c>
      <c r="F447" t="s">
        <v>88</v>
      </c>
      <c r="G447" t="s">
        <v>89</v>
      </c>
      <c r="H447" s="1">
        <v>943.90999443039902</v>
      </c>
      <c r="I447">
        <f>_FIIPer1000[[#This Row],[No.Per1000Adults]]-H446</f>
        <v>-13.961273078978024</v>
      </c>
      <c r="J447" t="s">
        <v>67</v>
      </c>
      <c r="K447" t="s">
        <v>68</v>
      </c>
    </row>
    <row r="448" spans="1:11" hidden="1" x14ac:dyDescent="0.25">
      <c r="A448" t="s">
        <v>45</v>
      </c>
      <c r="B448" t="s">
        <v>46</v>
      </c>
      <c r="C448" t="s">
        <v>55</v>
      </c>
      <c r="D448" t="s">
        <v>56</v>
      </c>
      <c r="E448">
        <v>2021</v>
      </c>
      <c r="F448" t="s">
        <v>88</v>
      </c>
      <c r="G448" t="s">
        <v>89</v>
      </c>
      <c r="H448" s="1">
        <v>1057.74594940663</v>
      </c>
      <c r="I448">
        <f>_FIIPer1000[[#This Row],[No.Per1000Adults]]-H447</f>
        <v>113.83595497623094</v>
      </c>
      <c r="J448" t="s">
        <v>67</v>
      </c>
      <c r="K448" t="s">
        <v>68</v>
      </c>
    </row>
    <row r="449" spans="1:11" hidden="1" x14ac:dyDescent="0.25">
      <c r="A449" t="s">
        <v>45</v>
      </c>
      <c r="B449" t="s">
        <v>46</v>
      </c>
      <c r="C449" t="s">
        <v>55</v>
      </c>
      <c r="D449" t="s">
        <v>56</v>
      </c>
      <c r="E449">
        <v>2022</v>
      </c>
      <c r="F449" t="s">
        <v>88</v>
      </c>
      <c r="G449" t="s">
        <v>89</v>
      </c>
      <c r="H449" s="1">
        <v>1075.9159549374101</v>
      </c>
      <c r="I449">
        <f>_FIIPer1000[[#This Row],[No.Per1000Adults]]-H448</f>
        <v>18.170005530780145</v>
      </c>
      <c r="J449" t="s">
        <v>67</v>
      </c>
      <c r="K449" t="s">
        <v>68</v>
      </c>
    </row>
    <row r="450" spans="1:11" hidden="1" x14ac:dyDescent="0.25">
      <c r="A450" t="s">
        <v>45</v>
      </c>
      <c r="B450" t="s">
        <v>46</v>
      </c>
      <c r="C450" t="s">
        <v>55</v>
      </c>
      <c r="D450" t="s">
        <v>56</v>
      </c>
      <c r="E450">
        <v>2023</v>
      </c>
      <c r="F450" t="s">
        <v>88</v>
      </c>
      <c r="G450" t="s">
        <v>89</v>
      </c>
      <c r="H450" s="1">
        <v>1062.2043323145599</v>
      </c>
      <c r="I450">
        <f>_FIIPer1000[[#This Row],[No.Per1000Adults]]-H449</f>
        <v>-13.7116226228502</v>
      </c>
      <c r="J450" t="s">
        <v>67</v>
      </c>
      <c r="K450" t="s">
        <v>68</v>
      </c>
    </row>
    <row r="451" spans="1:11" hidden="1" x14ac:dyDescent="0.25">
      <c r="A451" t="s">
        <v>45</v>
      </c>
      <c r="B451" t="s">
        <v>46</v>
      </c>
      <c r="C451" t="s">
        <v>55</v>
      </c>
      <c r="D451" t="s">
        <v>56</v>
      </c>
      <c r="E451">
        <v>2024</v>
      </c>
      <c r="F451" t="s">
        <v>88</v>
      </c>
      <c r="G451" t="s">
        <v>89</v>
      </c>
      <c r="H451" s="2"/>
      <c r="J451" t="s">
        <v>67</v>
      </c>
      <c r="K451" t="s">
        <v>68</v>
      </c>
    </row>
    <row r="452" spans="1:11" hidden="1" x14ac:dyDescent="0.25">
      <c r="A452" t="s">
        <v>5</v>
      </c>
      <c r="B452" t="s">
        <v>6</v>
      </c>
      <c r="C452" t="s">
        <v>9</v>
      </c>
      <c r="D452" t="s">
        <v>10</v>
      </c>
      <c r="E452">
        <v>2019</v>
      </c>
      <c r="F452" t="s">
        <v>90</v>
      </c>
      <c r="G452" t="s">
        <v>91</v>
      </c>
      <c r="H452" s="1">
        <v>2011.74297107342</v>
      </c>
      <c r="J452" t="s">
        <v>67</v>
      </c>
      <c r="K452" t="s">
        <v>68</v>
      </c>
    </row>
    <row r="453" spans="1:11" hidden="1" x14ac:dyDescent="0.25">
      <c r="A453" t="s">
        <v>5</v>
      </c>
      <c r="B453" t="s">
        <v>6</v>
      </c>
      <c r="C453" t="s">
        <v>9</v>
      </c>
      <c r="D453" t="s">
        <v>10</v>
      </c>
      <c r="E453">
        <v>2020</v>
      </c>
      <c r="F453" t="s">
        <v>90</v>
      </c>
      <c r="G453" t="s">
        <v>91</v>
      </c>
      <c r="H453" s="1">
        <v>2326.54875546228</v>
      </c>
      <c r="I453">
        <f>_FIIPer1000[[#This Row],[No.Per1000Adults]]-H452</f>
        <v>314.80578438886005</v>
      </c>
      <c r="J453" t="s">
        <v>67</v>
      </c>
      <c r="K453" t="s">
        <v>68</v>
      </c>
    </row>
    <row r="454" spans="1:11" hidden="1" x14ac:dyDescent="0.25">
      <c r="A454" t="s">
        <v>5</v>
      </c>
      <c r="B454" t="s">
        <v>6</v>
      </c>
      <c r="C454" t="s">
        <v>9</v>
      </c>
      <c r="D454" t="s">
        <v>10</v>
      </c>
      <c r="E454">
        <v>2021</v>
      </c>
      <c r="F454" t="s">
        <v>90</v>
      </c>
      <c r="G454" t="s">
        <v>91</v>
      </c>
      <c r="H454" s="1">
        <v>2478.0214497751599</v>
      </c>
      <c r="I454">
        <f>_FIIPer1000[[#This Row],[No.Per1000Adults]]-H453</f>
        <v>151.47269431287987</v>
      </c>
      <c r="J454" t="s">
        <v>67</v>
      </c>
      <c r="K454" t="s">
        <v>68</v>
      </c>
    </row>
    <row r="455" spans="1:11" hidden="1" x14ac:dyDescent="0.25">
      <c r="A455" t="s">
        <v>5</v>
      </c>
      <c r="B455" t="s">
        <v>6</v>
      </c>
      <c r="C455" t="s">
        <v>9</v>
      </c>
      <c r="D455" t="s">
        <v>10</v>
      </c>
      <c r="E455">
        <v>2022</v>
      </c>
      <c r="F455" t="s">
        <v>90</v>
      </c>
      <c r="G455" t="s">
        <v>91</v>
      </c>
      <c r="H455" s="1">
        <v>2755.5180751248899</v>
      </c>
      <c r="I455">
        <f>_FIIPer1000[[#This Row],[No.Per1000Adults]]-H454</f>
        <v>277.49662534973004</v>
      </c>
      <c r="J455" t="s">
        <v>67</v>
      </c>
      <c r="K455" t="s">
        <v>68</v>
      </c>
    </row>
    <row r="456" spans="1:11" hidden="1" x14ac:dyDescent="0.25">
      <c r="A456" t="s">
        <v>5</v>
      </c>
      <c r="B456" t="s">
        <v>6</v>
      </c>
      <c r="C456" t="s">
        <v>9</v>
      </c>
      <c r="D456" t="s">
        <v>10</v>
      </c>
      <c r="E456">
        <v>2023</v>
      </c>
      <c r="F456" t="s">
        <v>90</v>
      </c>
      <c r="G456" t="s">
        <v>91</v>
      </c>
      <c r="H456" s="1">
        <v>2990.9267123211098</v>
      </c>
      <c r="I456">
        <f>_FIIPer1000[[#This Row],[No.Per1000Adults]]-H455</f>
        <v>235.40863719621984</v>
      </c>
      <c r="J456" t="s">
        <v>67</v>
      </c>
      <c r="K456" t="s">
        <v>68</v>
      </c>
    </row>
    <row r="457" spans="1:11" hidden="1" x14ac:dyDescent="0.25">
      <c r="A457" t="s">
        <v>5</v>
      </c>
      <c r="B457" t="s">
        <v>6</v>
      </c>
      <c r="C457" t="s">
        <v>9</v>
      </c>
      <c r="D457" t="s">
        <v>10</v>
      </c>
      <c r="E457">
        <v>2024</v>
      </c>
      <c r="F457" t="s">
        <v>90</v>
      </c>
      <c r="G457" t="s">
        <v>91</v>
      </c>
      <c r="H457" s="1">
        <v>3331.9179595526798</v>
      </c>
      <c r="I457">
        <f>_FIIPer1000[[#This Row],[No.Per1000Adults]]-H456</f>
        <v>340.99124723157001</v>
      </c>
      <c r="J457" t="s">
        <v>67</v>
      </c>
      <c r="K457" t="s">
        <v>68</v>
      </c>
    </row>
    <row r="458" spans="1:11" hidden="1" x14ac:dyDescent="0.25">
      <c r="A458" t="s">
        <v>5</v>
      </c>
      <c r="B458" t="s">
        <v>6</v>
      </c>
      <c r="C458" t="s">
        <v>11</v>
      </c>
      <c r="D458" t="s">
        <v>12</v>
      </c>
      <c r="E458">
        <v>2019</v>
      </c>
      <c r="F458" t="s">
        <v>90</v>
      </c>
      <c r="G458" t="s">
        <v>91</v>
      </c>
      <c r="J458" t="s">
        <v>67</v>
      </c>
      <c r="K458" t="s">
        <v>68</v>
      </c>
    </row>
    <row r="459" spans="1:11" hidden="1" x14ac:dyDescent="0.25">
      <c r="A459" t="s">
        <v>5</v>
      </c>
      <c r="B459" t="s">
        <v>6</v>
      </c>
      <c r="C459" t="s">
        <v>11</v>
      </c>
      <c r="D459" t="s">
        <v>12</v>
      </c>
      <c r="E459">
        <v>2020</v>
      </c>
      <c r="F459" t="s">
        <v>90</v>
      </c>
      <c r="G459" t="s">
        <v>91</v>
      </c>
      <c r="J459" t="s">
        <v>67</v>
      </c>
      <c r="K459" t="s">
        <v>68</v>
      </c>
    </row>
    <row r="460" spans="1:11" hidden="1" x14ac:dyDescent="0.25">
      <c r="A460" t="s">
        <v>5</v>
      </c>
      <c r="B460" t="s">
        <v>6</v>
      </c>
      <c r="C460" t="s">
        <v>11</v>
      </c>
      <c r="D460" t="s">
        <v>12</v>
      </c>
      <c r="E460">
        <v>2021</v>
      </c>
      <c r="F460" t="s">
        <v>90</v>
      </c>
      <c r="G460" t="s">
        <v>91</v>
      </c>
      <c r="J460" t="s">
        <v>67</v>
      </c>
      <c r="K460" t="s">
        <v>68</v>
      </c>
    </row>
    <row r="461" spans="1:11" hidden="1" x14ac:dyDescent="0.25">
      <c r="A461" t="s">
        <v>5</v>
      </c>
      <c r="B461" t="s">
        <v>6</v>
      </c>
      <c r="C461" t="s">
        <v>11</v>
      </c>
      <c r="D461" t="s">
        <v>12</v>
      </c>
      <c r="E461">
        <v>2022</v>
      </c>
      <c r="F461" t="s">
        <v>90</v>
      </c>
      <c r="G461" t="s">
        <v>91</v>
      </c>
      <c r="J461" t="s">
        <v>67</v>
      </c>
      <c r="K461" t="s">
        <v>68</v>
      </c>
    </row>
    <row r="462" spans="1:11" hidden="1" x14ac:dyDescent="0.25">
      <c r="A462" t="s">
        <v>5</v>
      </c>
      <c r="B462" t="s">
        <v>6</v>
      </c>
      <c r="C462" t="s">
        <v>11</v>
      </c>
      <c r="D462" t="s">
        <v>12</v>
      </c>
      <c r="E462">
        <v>2023</v>
      </c>
      <c r="F462" t="s">
        <v>90</v>
      </c>
      <c r="G462" t="s">
        <v>91</v>
      </c>
      <c r="J462" t="s">
        <v>67</v>
      </c>
      <c r="K462" t="s">
        <v>68</v>
      </c>
    </row>
    <row r="463" spans="1:11" hidden="1" x14ac:dyDescent="0.25">
      <c r="A463" t="s">
        <v>5</v>
      </c>
      <c r="B463" t="s">
        <v>6</v>
      </c>
      <c r="C463" t="s">
        <v>11</v>
      </c>
      <c r="D463" t="s">
        <v>12</v>
      </c>
      <c r="E463">
        <v>2024</v>
      </c>
      <c r="F463" t="s">
        <v>90</v>
      </c>
      <c r="G463" t="s">
        <v>91</v>
      </c>
      <c r="J463" t="s">
        <v>67</v>
      </c>
      <c r="K463" t="s">
        <v>68</v>
      </c>
    </row>
    <row r="464" spans="1:11" hidden="1" x14ac:dyDescent="0.25">
      <c r="A464" t="s">
        <v>5</v>
      </c>
      <c r="B464" t="s">
        <v>6</v>
      </c>
      <c r="C464" t="s">
        <v>13</v>
      </c>
      <c r="D464" t="s">
        <v>14</v>
      </c>
      <c r="E464">
        <v>2019</v>
      </c>
      <c r="F464" t="s">
        <v>90</v>
      </c>
      <c r="G464" t="s">
        <v>91</v>
      </c>
      <c r="J464" t="s">
        <v>67</v>
      </c>
      <c r="K464" t="s">
        <v>68</v>
      </c>
    </row>
    <row r="465" spans="1:11" hidden="1" x14ac:dyDescent="0.25">
      <c r="A465" t="s">
        <v>5</v>
      </c>
      <c r="B465" t="s">
        <v>6</v>
      </c>
      <c r="C465" t="s">
        <v>13</v>
      </c>
      <c r="D465" t="s">
        <v>14</v>
      </c>
      <c r="E465">
        <v>2020</v>
      </c>
      <c r="F465" t="s">
        <v>90</v>
      </c>
      <c r="G465" t="s">
        <v>91</v>
      </c>
      <c r="J465" t="s">
        <v>67</v>
      </c>
      <c r="K465" t="s">
        <v>68</v>
      </c>
    </row>
    <row r="466" spans="1:11" hidden="1" x14ac:dyDescent="0.25">
      <c r="A466" t="s">
        <v>5</v>
      </c>
      <c r="B466" t="s">
        <v>6</v>
      </c>
      <c r="C466" t="s">
        <v>13</v>
      </c>
      <c r="D466" t="s">
        <v>14</v>
      </c>
      <c r="E466">
        <v>2021</v>
      </c>
      <c r="F466" t="s">
        <v>90</v>
      </c>
      <c r="G466" t="s">
        <v>91</v>
      </c>
      <c r="J466" t="s">
        <v>67</v>
      </c>
      <c r="K466" t="s">
        <v>68</v>
      </c>
    </row>
    <row r="467" spans="1:11" hidden="1" x14ac:dyDescent="0.25">
      <c r="A467" t="s">
        <v>5</v>
      </c>
      <c r="B467" t="s">
        <v>6</v>
      </c>
      <c r="C467" t="s">
        <v>13</v>
      </c>
      <c r="D467" t="s">
        <v>14</v>
      </c>
      <c r="E467">
        <v>2022</v>
      </c>
      <c r="F467" t="s">
        <v>90</v>
      </c>
      <c r="G467" t="s">
        <v>91</v>
      </c>
      <c r="J467" t="s">
        <v>67</v>
      </c>
      <c r="K467" t="s">
        <v>68</v>
      </c>
    </row>
    <row r="468" spans="1:11" hidden="1" x14ac:dyDescent="0.25">
      <c r="A468" t="s">
        <v>5</v>
      </c>
      <c r="B468" t="s">
        <v>6</v>
      </c>
      <c r="C468" t="s">
        <v>13</v>
      </c>
      <c r="D468" t="s">
        <v>14</v>
      </c>
      <c r="E468">
        <v>2023</v>
      </c>
      <c r="F468" t="s">
        <v>90</v>
      </c>
      <c r="G468" t="s">
        <v>91</v>
      </c>
      <c r="J468" t="s">
        <v>67</v>
      </c>
      <c r="K468" t="s">
        <v>68</v>
      </c>
    </row>
    <row r="469" spans="1:11" hidden="1" x14ac:dyDescent="0.25">
      <c r="A469" t="s">
        <v>5</v>
      </c>
      <c r="B469" t="s">
        <v>6</v>
      </c>
      <c r="C469" t="s">
        <v>13</v>
      </c>
      <c r="D469" t="s">
        <v>14</v>
      </c>
      <c r="E469">
        <v>2024</v>
      </c>
      <c r="F469" t="s">
        <v>90</v>
      </c>
      <c r="G469" t="s">
        <v>91</v>
      </c>
      <c r="J469" t="s">
        <v>67</v>
      </c>
      <c r="K469" t="s">
        <v>68</v>
      </c>
    </row>
    <row r="470" spans="1:11" hidden="1" x14ac:dyDescent="0.25">
      <c r="A470" t="s">
        <v>5</v>
      </c>
      <c r="B470" t="s">
        <v>6</v>
      </c>
      <c r="C470" t="s">
        <v>15</v>
      </c>
      <c r="D470" t="s">
        <v>16</v>
      </c>
      <c r="E470">
        <v>2019</v>
      </c>
      <c r="F470" t="s">
        <v>90</v>
      </c>
      <c r="G470" t="s">
        <v>91</v>
      </c>
      <c r="J470" t="s">
        <v>67</v>
      </c>
      <c r="K470" t="s">
        <v>68</v>
      </c>
    </row>
    <row r="471" spans="1:11" hidden="1" x14ac:dyDescent="0.25">
      <c r="A471" t="s">
        <v>5</v>
      </c>
      <c r="B471" t="s">
        <v>6</v>
      </c>
      <c r="C471" t="s">
        <v>15</v>
      </c>
      <c r="D471" t="s">
        <v>16</v>
      </c>
      <c r="E471">
        <v>2020</v>
      </c>
      <c r="F471" t="s">
        <v>90</v>
      </c>
      <c r="G471" t="s">
        <v>91</v>
      </c>
      <c r="J471" t="s">
        <v>67</v>
      </c>
      <c r="K471" t="s">
        <v>68</v>
      </c>
    </row>
    <row r="472" spans="1:11" hidden="1" x14ac:dyDescent="0.25">
      <c r="A472" t="s">
        <v>5</v>
      </c>
      <c r="B472" t="s">
        <v>6</v>
      </c>
      <c r="C472" t="s">
        <v>15</v>
      </c>
      <c r="D472" t="s">
        <v>16</v>
      </c>
      <c r="E472">
        <v>2021</v>
      </c>
      <c r="F472" t="s">
        <v>90</v>
      </c>
      <c r="G472" t="s">
        <v>91</v>
      </c>
      <c r="J472" t="s">
        <v>67</v>
      </c>
      <c r="K472" t="s">
        <v>68</v>
      </c>
    </row>
    <row r="473" spans="1:11" hidden="1" x14ac:dyDescent="0.25">
      <c r="A473" t="s">
        <v>5</v>
      </c>
      <c r="B473" t="s">
        <v>6</v>
      </c>
      <c r="C473" t="s">
        <v>15</v>
      </c>
      <c r="D473" t="s">
        <v>16</v>
      </c>
      <c r="E473">
        <v>2022</v>
      </c>
      <c r="F473" t="s">
        <v>90</v>
      </c>
      <c r="G473" t="s">
        <v>91</v>
      </c>
      <c r="J473" t="s">
        <v>67</v>
      </c>
      <c r="K473" t="s">
        <v>68</v>
      </c>
    </row>
    <row r="474" spans="1:11" hidden="1" x14ac:dyDescent="0.25">
      <c r="A474" t="s">
        <v>5</v>
      </c>
      <c r="B474" t="s">
        <v>6</v>
      </c>
      <c r="C474" t="s">
        <v>15</v>
      </c>
      <c r="D474" t="s">
        <v>16</v>
      </c>
      <c r="E474">
        <v>2023</v>
      </c>
      <c r="F474" t="s">
        <v>90</v>
      </c>
      <c r="G474" t="s">
        <v>91</v>
      </c>
      <c r="J474" t="s">
        <v>67</v>
      </c>
      <c r="K474" t="s">
        <v>68</v>
      </c>
    </row>
    <row r="475" spans="1:11" hidden="1" x14ac:dyDescent="0.25">
      <c r="A475" t="s">
        <v>5</v>
      </c>
      <c r="B475" t="s">
        <v>6</v>
      </c>
      <c r="C475" t="s">
        <v>15</v>
      </c>
      <c r="D475" t="s">
        <v>16</v>
      </c>
      <c r="E475">
        <v>2024</v>
      </c>
      <c r="F475" t="s">
        <v>90</v>
      </c>
      <c r="G475" t="s">
        <v>91</v>
      </c>
      <c r="J475" t="s">
        <v>67</v>
      </c>
      <c r="K475" t="s">
        <v>68</v>
      </c>
    </row>
    <row r="476" spans="1:11" hidden="1" x14ac:dyDescent="0.25">
      <c r="A476" t="s">
        <v>5</v>
      </c>
      <c r="B476" t="s">
        <v>6</v>
      </c>
      <c r="C476" t="s">
        <v>17</v>
      </c>
      <c r="D476" t="s">
        <v>18</v>
      </c>
      <c r="E476">
        <v>2019</v>
      </c>
      <c r="F476" t="s">
        <v>90</v>
      </c>
      <c r="G476" t="s">
        <v>91</v>
      </c>
      <c r="H476" s="1">
        <v>7008.6584149767104</v>
      </c>
      <c r="J476" t="s">
        <v>67</v>
      </c>
      <c r="K476" t="s">
        <v>68</v>
      </c>
    </row>
    <row r="477" spans="1:11" hidden="1" x14ac:dyDescent="0.25">
      <c r="A477" t="s">
        <v>5</v>
      </c>
      <c r="B477" t="s">
        <v>6</v>
      </c>
      <c r="C477" t="s">
        <v>17</v>
      </c>
      <c r="D477" t="s">
        <v>18</v>
      </c>
      <c r="E477">
        <v>2020</v>
      </c>
      <c r="F477" t="s">
        <v>90</v>
      </c>
      <c r="G477" t="s">
        <v>91</v>
      </c>
      <c r="H477" s="1">
        <v>7928.4474988661996</v>
      </c>
      <c r="I477">
        <f>_FIIPer1000[[#This Row],[No.Per1000Adults]]-H476</f>
        <v>919.78908388948912</v>
      </c>
      <c r="J477" t="s">
        <v>67</v>
      </c>
      <c r="K477" t="s">
        <v>68</v>
      </c>
    </row>
    <row r="478" spans="1:11" hidden="1" x14ac:dyDescent="0.25">
      <c r="A478" t="s">
        <v>5</v>
      </c>
      <c r="B478" t="s">
        <v>6</v>
      </c>
      <c r="C478" t="s">
        <v>17</v>
      </c>
      <c r="D478" t="s">
        <v>18</v>
      </c>
      <c r="E478">
        <v>2021</v>
      </c>
      <c r="F478" t="s">
        <v>90</v>
      </c>
      <c r="G478" t="s">
        <v>91</v>
      </c>
      <c r="H478" s="1">
        <v>8740.7038494590397</v>
      </c>
      <c r="I478">
        <f>_FIIPer1000[[#This Row],[No.Per1000Adults]]-H477</f>
        <v>812.25635059284014</v>
      </c>
      <c r="J478" t="s">
        <v>67</v>
      </c>
      <c r="K478" t="s">
        <v>68</v>
      </c>
    </row>
    <row r="479" spans="1:11" hidden="1" x14ac:dyDescent="0.25">
      <c r="A479" t="s">
        <v>5</v>
      </c>
      <c r="B479" t="s">
        <v>6</v>
      </c>
      <c r="C479" t="s">
        <v>17</v>
      </c>
      <c r="D479" t="s">
        <v>18</v>
      </c>
      <c r="E479">
        <v>2022</v>
      </c>
      <c r="F479" t="s">
        <v>90</v>
      </c>
      <c r="G479" t="s">
        <v>91</v>
      </c>
      <c r="H479" s="1">
        <v>10186.190482505001</v>
      </c>
      <c r="I479">
        <f>_FIIPer1000[[#This Row],[No.Per1000Adults]]-H478</f>
        <v>1445.4866330459608</v>
      </c>
      <c r="J479" t="s">
        <v>67</v>
      </c>
      <c r="K479" t="s">
        <v>68</v>
      </c>
    </row>
    <row r="480" spans="1:11" hidden="1" x14ac:dyDescent="0.25">
      <c r="A480" t="s">
        <v>5</v>
      </c>
      <c r="B480" t="s">
        <v>6</v>
      </c>
      <c r="C480" t="s">
        <v>17</v>
      </c>
      <c r="D480" t="s">
        <v>18</v>
      </c>
      <c r="E480">
        <v>2023</v>
      </c>
      <c r="F480" t="s">
        <v>90</v>
      </c>
      <c r="G480" t="s">
        <v>91</v>
      </c>
      <c r="H480" s="1">
        <v>8990.0546305141706</v>
      </c>
      <c r="I480">
        <f>_FIIPer1000[[#This Row],[No.Per1000Adults]]-H479</f>
        <v>-1196.1358519908299</v>
      </c>
      <c r="J480" t="s">
        <v>67</v>
      </c>
      <c r="K480" t="s">
        <v>68</v>
      </c>
    </row>
    <row r="481" spans="1:11" hidden="1" x14ac:dyDescent="0.25">
      <c r="A481" t="s">
        <v>5</v>
      </c>
      <c r="B481" t="s">
        <v>6</v>
      </c>
      <c r="C481" t="s">
        <v>17</v>
      </c>
      <c r="D481" t="s">
        <v>18</v>
      </c>
      <c r="E481">
        <v>2024</v>
      </c>
      <c r="F481" t="s">
        <v>90</v>
      </c>
      <c r="G481" t="s">
        <v>91</v>
      </c>
      <c r="H481" s="1">
        <v>9259.5192101043704</v>
      </c>
      <c r="I481">
        <f>_FIIPer1000[[#This Row],[No.Per1000Adults]]-H480</f>
        <v>269.46457959019972</v>
      </c>
      <c r="J481" t="s">
        <v>67</v>
      </c>
      <c r="K481" t="s">
        <v>68</v>
      </c>
    </row>
    <row r="482" spans="1:11" hidden="1" x14ac:dyDescent="0.25">
      <c r="A482" t="s">
        <v>5</v>
      </c>
      <c r="B482" t="s">
        <v>6</v>
      </c>
      <c r="C482" t="s">
        <v>19</v>
      </c>
      <c r="D482" t="s">
        <v>20</v>
      </c>
      <c r="E482">
        <v>2019</v>
      </c>
      <c r="F482" t="s">
        <v>90</v>
      </c>
      <c r="G482" t="s">
        <v>91</v>
      </c>
      <c r="J482" t="s">
        <v>67</v>
      </c>
      <c r="K482" t="s">
        <v>68</v>
      </c>
    </row>
    <row r="483" spans="1:11" hidden="1" x14ac:dyDescent="0.25">
      <c r="A483" t="s">
        <v>5</v>
      </c>
      <c r="B483" t="s">
        <v>6</v>
      </c>
      <c r="C483" t="s">
        <v>19</v>
      </c>
      <c r="D483" t="s">
        <v>20</v>
      </c>
      <c r="E483">
        <v>2020</v>
      </c>
      <c r="F483" t="s">
        <v>90</v>
      </c>
      <c r="G483" t="s">
        <v>91</v>
      </c>
      <c r="J483" t="s">
        <v>67</v>
      </c>
      <c r="K483" t="s">
        <v>68</v>
      </c>
    </row>
    <row r="484" spans="1:11" hidden="1" x14ac:dyDescent="0.25">
      <c r="A484" t="s">
        <v>5</v>
      </c>
      <c r="B484" t="s">
        <v>6</v>
      </c>
      <c r="C484" t="s">
        <v>19</v>
      </c>
      <c r="D484" t="s">
        <v>20</v>
      </c>
      <c r="E484">
        <v>2021</v>
      </c>
      <c r="F484" t="s">
        <v>90</v>
      </c>
      <c r="G484" t="s">
        <v>91</v>
      </c>
      <c r="J484" t="s">
        <v>67</v>
      </c>
      <c r="K484" t="s">
        <v>68</v>
      </c>
    </row>
    <row r="485" spans="1:11" hidden="1" x14ac:dyDescent="0.25">
      <c r="A485" t="s">
        <v>5</v>
      </c>
      <c r="B485" t="s">
        <v>6</v>
      </c>
      <c r="C485" t="s">
        <v>19</v>
      </c>
      <c r="D485" t="s">
        <v>20</v>
      </c>
      <c r="E485">
        <v>2022</v>
      </c>
      <c r="F485" t="s">
        <v>90</v>
      </c>
      <c r="G485" t="s">
        <v>91</v>
      </c>
      <c r="J485" t="s">
        <v>67</v>
      </c>
      <c r="K485" t="s">
        <v>68</v>
      </c>
    </row>
    <row r="486" spans="1:11" hidden="1" x14ac:dyDescent="0.25">
      <c r="A486" t="s">
        <v>5</v>
      </c>
      <c r="B486" t="s">
        <v>6</v>
      </c>
      <c r="C486" t="s">
        <v>19</v>
      </c>
      <c r="D486" t="s">
        <v>20</v>
      </c>
      <c r="E486">
        <v>2023</v>
      </c>
      <c r="F486" t="s">
        <v>90</v>
      </c>
      <c r="G486" t="s">
        <v>91</v>
      </c>
      <c r="J486" t="s">
        <v>67</v>
      </c>
      <c r="K486" t="s">
        <v>68</v>
      </c>
    </row>
    <row r="487" spans="1:11" hidden="1" x14ac:dyDescent="0.25">
      <c r="A487" t="s">
        <v>5</v>
      </c>
      <c r="B487" t="s">
        <v>6</v>
      </c>
      <c r="C487" t="s">
        <v>19</v>
      </c>
      <c r="D487" t="s">
        <v>20</v>
      </c>
      <c r="E487">
        <v>2024</v>
      </c>
      <c r="F487" t="s">
        <v>90</v>
      </c>
      <c r="G487" t="s">
        <v>91</v>
      </c>
      <c r="J487" t="s">
        <v>67</v>
      </c>
      <c r="K487" t="s">
        <v>68</v>
      </c>
    </row>
    <row r="488" spans="1:11" hidden="1" x14ac:dyDescent="0.25">
      <c r="A488" t="s">
        <v>5</v>
      </c>
      <c r="B488" t="s">
        <v>6</v>
      </c>
      <c r="C488" t="s">
        <v>21</v>
      </c>
      <c r="D488" t="s">
        <v>22</v>
      </c>
      <c r="E488">
        <v>2019</v>
      </c>
      <c r="F488" t="s">
        <v>90</v>
      </c>
      <c r="G488" t="s">
        <v>91</v>
      </c>
      <c r="J488" t="s">
        <v>67</v>
      </c>
      <c r="K488" t="s">
        <v>68</v>
      </c>
    </row>
    <row r="489" spans="1:11" hidden="1" x14ac:dyDescent="0.25">
      <c r="A489" t="s">
        <v>5</v>
      </c>
      <c r="B489" t="s">
        <v>6</v>
      </c>
      <c r="C489" t="s">
        <v>21</v>
      </c>
      <c r="D489" t="s">
        <v>22</v>
      </c>
      <c r="E489">
        <v>2020</v>
      </c>
      <c r="F489" t="s">
        <v>90</v>
      </c>
      <c r="G489" t="s">
        <v>91</v>
      </c>
      <c r="J489" t="s">
        <v>67</v>
      </c>
      <c r="K489" t="s">
        <v>68</v>
      </c>
    </row>
    <row r="490" spans="1:11" hidden="1" x14ac:dyDescent="0.25">
      <c r="A490" t="s">
        <v>5</v>
      </c>
      <c r="B490" t="s">
        <v>6</v>
      </c>
      <c r="C490" t="s">
        <v>21</v>
      </c>
      <c r="D490" t="s">
        <v>22</v>
      </c>
      <c r="E490">
        <v>2021</v>
      </c>
      <c r="F490" t="s">
        <v>90</v>
      </c>
      <c r="G490" t="s">
        <v>91</v>
      </c>
      <c r="J490" t="s">
        <v>67</v>
      </c>
      <c r="K490" t="s">
        <v>68</v>
      </c>
    </row>
    <row r="491" spans="1:11" hidden="1" x14ac:dyDescent="0.25">
      <c r="A491" t="s">
        <v>5</v>
      </c>
      <c r="B491" t="s">
        <v>6</v>
      </c>
      <c r="C491" t="s">
        <v>21</v>
      </c>
      <c r="D491" t="s">
        <v>22</v>
      </c>
      <c r="E491">
        <v>2022</v>
      </c>
      <c r="F491" t="s">
        <v>90</v>
      </c>
      <c r="G491" t="s">
        <v>91</v>
      </c>
      <c r="J491" t="s">
        <v>67</v>
      </c>
      <c r="K491" t="s">
        <v>68</v>
      </c>
    </row>
    <row r="492" spans="1:11" hidden="1" x14ac:dyDescent="0.25">
      <c r="A492" t="s">
        <v>5</v>
      </c>
      <c r="B492" t="s">
        <v>6</v>
      </c>
      <c r="C492" t="s">
        <v>21</v>
      </c>
      <c r="D492" t="s">
        <v>22</v>
      </c>
      <c r="E492">
        <v>2023</v>
      </c>
      <c r="F492" t="s">
        <v>90</v>
      </c>
      <c r="G492" t="s">
        <v>91</v>
      </c>
      <c r="J492" t="s">
        <v>67</v>
      </c>
      <c r="K492" t="s">
        <v>68</v>
      </c>
    </row>
    <row r="493" spans="1:11" hidden="1" x14ac:dyDescent="0.25">
      <c r="A493" t="s">
        <v>5</v>
      </c>
      <c r="B493" t="s">
        <v>6</v>
      </c>
      <c r="C493" t="s">
        <v>21</v>
      </c>
      <c r="D493" t="s">
        <v>22</v>
      </c>
      <c r="E493">
        <v>2024</v>
      </c>
      <c r="F493" t="s">
        <v>90</v>
      </c>
      <c r="G493" t="s">
        <v>91</v>
      </c>
      <c r="J493" t="s">
        <v>67</v>
      </c>
      <c r="K493" t="s">
        <v>68</v>
      </c>
    </row>
    <row r="494" spans="1:11" hidden="1" x14ac:dyDescent="0.25">
      <c r="A494" t="s">
        <v>5</v>
      </c>
      <c r="B494" t="s">
        <v>6</v>
      </c>
      <c r="C494" t="s">
        <v>23</v>
      </c>
      <c r="D494" t="s">
        <v>24</v>
      </c>
      <c r="E494">
        <v>2019</v>
      </c>
      <c r="F494" t="s">
        <v>90</v>
      </c>
      <c r="G494" t="s">
        <v>91</v>
      </c>
      <c r="J494" t="s">
        <v>67</v>
      </c>
      <c r="K494" t="s">
        <v>68</v>
      </c>
    </row>
    <row r="495" spans="1:11" hidden="1" x14ac:dyDescent="0.25">
      <c r="A495" t="s">
        <v>5</v>
      </c>
      <c r="B495" t="s">
        <v>6</v>
      </c>
      <c r="C495" t="s">
        <v>23</v>
      </c>
      <c r="D495" t="s">
        <v>24</v>
      </c>
      <c r="E495">
        <v>2020</v>
      </c>
      <c r="F495" t="s">
        <v>90</v>
      </c>
      <c r="G495" t="s">
        <v>91</v>
      </c>
      <c r="J495" t="s">
        <v>67</v>
      </c>
      <c r="K495" t="s">
        <v>68</v>
      </c>
    </row>
    <row r="496" spans="1:11" hidden="1" x14ac:dyDescent="0.25">
      <c r="A496" t="s">
        <v>5</v>
      </c>
      <c r="B496" t="s">
        <v>6</v>
      </c>
      <c r="C496" t="s">
        <v>23</v>
      </c>
      <c r="D496" t="s">
        <v>24</v>
      </c>
      <c r="E496">
        <v>2021</v>
      </c>
      <c r="F496" t="s">
        <v>90</v>
      </c>
      <c r="G496" t="s">
        <v>91</v>
      </c>
      <c r="J496" t="s">
        <v>67</v>
      </c>
      <c r="K496" t="s">
        <v>68</v>
      </c>
    </row>
    <row r="497" spans="1:11" hidden="1" x14ac:dyDescent="0.25">
      <c r="A497" t="s">
        <v>5</v>
      </c>
      <c r="B497" t="s">
        <v>6</v>
      </c>
      <c r="C497" t="s">
        <v>23</v>
      </c>
      <c r="D497" t="s">
        <v>24</v>
      </c>
      <c r="E497">
        <v>2022</v>
      </c>
      <c r="F497" t="s">
        <v>90</v>
      </c>
      <c r="G497" t="s">
        <v>91</v>
      </c>
      <c r="J497" t="s">
        <v>67</v>
      </c>
      <c r="K497" t="s">
        <v>68</v>
      </c>
    </row>
    <row r="498" spans="1:11" hidden="1" x14ac:dyDescent="0.25">
      <c r="A498" t="s">
        <v>5</v>
      </c>
      <c r="B498" t="s">
        <v>6</v>
      </c>
      <c r="C498" t="s">
        <v>23</v>
      </c>
      <c r="D498" t="s">
        <v>24</v>
      </c>
      <c r="E498">
        <v>2023</v>
      </c>
      <c r="F498" t="s">
        <v>90</v>
      </c>
      <c r="G498" t="s">
        <v>91</v>
      </c>
      <c r="J498" t="s">
        <v>67</v>
      </c>
      <c r="K498" t="s">
        <v>68</v>
      </c>
    </row>
    <row r="499" spans="1:11" hidden="1" x14ac:dyDescent="0.25">
      <c r="A499" t="s">
        <v>5</v>
      </c>
      <c r="B499" t="s">
        <v>6</v>
      </c>
      <c r="C499" t="s">
        <v>23</v>
      </c>
      <c r="D499" t="s">
        <v>24</v>
      </c>
      <c r="E499">
        <v>2024</v>
      </c>
      <c r="F499" t="s">
        <v>90</v>
      </c>
      <c r="G499" t="s">
        <v>91</v>
      </c>
      <c r="J499" t="s">
        <v>67</v>
      </c>
      <c r="K499" t="s">
        <v>68</v>
      </c>
    </row>
    <row r="500" spans="1:11" hidden="1" x14ac:dyDescent="0.25">
      <c r="A500" t="s">
        <v>5</v>
      </c>
      <c r="B500" t="s">
        <v>6</v>
      </c>
      <c r="C500" t="s">
        <v>29</v>
      </c>
      <c r="D500" t="s">
        <v>30</v>
      </c>
      <c r="E500">
        <v>2019</v>
      </c>
      <c r="F500" t="s">
        <v>90</v>
      </c>
      <c r="G500" t="s">
        <v>91</v>
      </c>
      <c r="H500" s="1">
        <v>7061.1784020409395</v>
      </c>
      <c r="J500" t="s">
        <v>67</v>
      </c>
      <c r="K500" t="s">
        <v>68</v>
      </c>
    </row>
    <row r="501" spans="1:11" hidden="1" x14ac:dyDescent="0.25">
      <c r="A501" t="s">
        <v>5</v>
      </c>
      <c r="B501" t="s">
        <v>6</v>
      </c>
      <c r="C501" t="s">
        <v>29</v>
      </c>
      <c r="D501" t="s">
        <v>30</v>
      </c>
      <c r="E501">
        <v>2020</v>
      </c>
      <c r="F501" t="s">
        <v>90</v>
      </c>
      <c r="G501" t="s">
        <v>91</v>
      </c>
      <c r="H501" s="1">
        <v>6974.08616502725</v>
      </c>
      <c r="I501">
        <f>_FIIPer1000[[#This Row],[No.Per1000Adults]]-H500</f>
        <v>-87.092237013689555</v>
      </c>
      <c r="J501" t="s">
        <v>67</v>
      </c>
      <c r="K501" t="s">
        <v>68</v>
      </c>
    </row>
    <row r="502" spans="1:11" hidden="1" x14ac:dyDescent="0.25">
      <c r="A502" t="s">
        <v>5</v>
      </c>
      <c r="B502" t="s">
        <v>6</v>
      </c>
      <c r="C502" t="s">
        <v>29</v>
      </c>
      <c r="D502" t="s">
        <v>30</v>
      </c>
      <c r="E502">
        <v>2021</v>
      </c>
      <c r="F502" t="s">
        <v>90</v>
      </c>
      <c r="G502" t="s">
        <v>91</v>
      </c>
      <c r="H502" s="1">
        <v>7128.43667398039</v>
      </c>
      <c r="I502">
        <f>_FIIPer1000[[#This Row],[No.Per1000Adults]]-H501</f>
        <v>154.35050895313998</v>
      </c>
      <c r="J502" t="s">
        <v>67</v>
      </c>
      <c r="K502" t="s">
        <v>68</v>
      </c>
    </row>
    <row r="503" spans="1:11" hidden="1" x14ac:dyDescent="0.25">
      <c r="A503" t="s">
        <v>5</v>
      </c>
      <c r="B503" t="s">
        <v>6</v>
      </c>
      <c r="C503" t="s">
        <v>29</v>
      </c>
      <c r="D503" t="s">
        <v>30</v>
      </c>
      <c r="E503">
        <v>2022</v>
      </c>
      <c r="F503" t="s">
        <v>90</v>
      </c>
      <c r="G503" t="s">
        <v>91</v>
      </c>
      <c r="H503" s="1">
        <v>7123.2746301052102</v>
      </c>
      <c r="I503">
        <f>_FIIPer1000[[#This Row],[No.Per1000Adults]]-H502</f>
        <v>-5.1620438751797337</v>
      </c>
      <c r="J503" t="s">
        <v>67</v>
      </c>
      <c r="K503" t="s">
        <v>68</v>
      </c>
    </row>
    <row r="504" spans="1:11" hidden="1" x14ac:dyDescent="0.25">
      <c r="A504" t="s">
        <v>5</v>
      </c>
      <c r="B504" t="s">
        <v>6</v>
      </c>
      <c r="C504" t="s">
        <v>29</v>
      </c>
      <c r="D504" t="s">
        <v>30</v>
      </c>
      <c r="E504">
        <v>2023</v>
      </c>
      <c r="F504" t="s">
        <v>90</v>
      </c>
      <c r="G504" t="s">
        <v>91</v>
      </c>
      <c r="H504" s="1">
        <v>7035.6758572097797</v>
      </c>
      <c r="I504">
        <f>_FIIPer1000[[#This Row],[No.Per1000Adults]]-H503</f>
        <v>-87.598772895430557</v>
      </c>
      <c r="J504" t="s">
        <v>67</v>
      </c>
      <c r="K504" t="s">
        <v>68</v>
      </c>
    </row>
    <row r="505" spans="1:11" hidden="1" x14ac:dyDescent="0.25">
      <c r="A505" t="s">
        <v>5</v>
      </c>
      <c r="B505" t="s">
        <v>6</v>
      </c>
      <c r="C505" t="s">
        <v>29</v>
      </c>
      <c r="D505" t="s">
        <v>30</v>
      </c>
      <c r="E505">
        <v>2024</v>
      </c>
      <c r="F505" t="s">
        <v>90</v>
      </c>
      <c r="G505" t="s">
        <v>91</v>
      </c>
      <c r="H505" s="1">
        <v>6872.6794537547603</v>
      </c>
      <c r="I505">
        <f>_FIIPer1000[[#This Row],[No.Per1000Adults]]-H504</f>
        <v>-162.99640345501939</v>
      </c>
      <c r="J505" t="s">
        <v>67</v>
      </c>
      <c r="K505" t="s">
        <v>68</v>
      </c>
    </row>
    <row r="506" spans="1:11" hidden="1" x14ac:dyDescent="0.25">
      <c r="A506" t="s">
        <v>5</v>
      </c>
      <c r="B506" t="s">
        <v>6</v>
      </c>
      <c r="C506" t="s">
        <v>7</v>
      </c>
      <c r="D506" t="s">
        <v>8</v>
      </c>
      <c r="E506">
        <v>2019</v>
      </c>
      <c r="F506" t="s">
        <v>90</v>
      </c>
      <c r="G506" t="s">
        <v>91</v>
      </c>
      <c r="H506" s="3">
        <v>1520.0813419404201</v>
      </c>
      <c r="J506" t="s">
        <v>67</v>
      </c>
      <c r="K506" t="s">
        <v>68</v>
      </c>
    </row>
    <row r="507" spans="1:11" hidden="1" x14ac:dyDescent="0.25">
      <c r="A507" t="s">
        <v>5</v>
      </c>
      <c r="B507" t="s">
        <v>6</v>
      </c>
      <c r="C507" t="s">
        <v>7</v>
      </c>
      <c r="D507" t="s">
        <v>8</v>
      </c>
      <c r="E507">
        <v>2020</v>
      </c>
      <c r="F507" t="s">
        <v>90</v>
      </c>
      <c r="G507" t="s">
        <v>91</v>
      </c>
      <c r="H507" s="3">
        <v>1591.7930553972201</v>
      </c>
      <c r="I507">
        <f>_FIIPer1000[[#This Row],[No.Per1000Adults]]-H506</f>
        <v>71.711713456799998</v>
      </c>
      <c r="J507" t="s">
        <v>67</v>
      </c>
      <c r="K507" t="s">
        <v>68</v>
      </c>
    </row>
    <row r="508" spans="1:11" hidden="1" x14ac:dyDescent="0.25">
      <c r="A508" t="s">
        <v>5</v>
      </c>
      <c r="B508" t="s">
        <v>6</v>
      </c>
      <c r="C508" t="s">
        <v>7</v>
      </c>
      <c r="D508" t="s">
        <v>8</v>
      </c>
      <c r="E508">
        <v>2021</v>
      </c>
      <c r="F508" t="s">
        <v>90</v>
      </c>
      <c r="G508" t="s">
        <v>91</v>
      </c>
      <c r="H508" s="3">
        <v>1939.03053422317</v>
      </c>
      <c r="I508">
        <f>_FIIPer1000[[#This Row],[No.Per1000Adults]]-H507</f>
        <v>347.23747882594989</v>
      </c>
      <c r="J508" t="s">
        <v>67</v>
      </c>
      <c r="K508" t="s">
        <v>68</v>
      </c>
    </row>
    <row r="509" spans="1:11" hidden="1" x14ac:dyDescent="0.25">
      <c r="A509" t="s">
        <v>5</v>
      </c>
      <c r="B509" t="s">
        <v>6</v>
      </c>
      <c r="C509" t="s">
        <v>7</v>
      </c>
      <c r="D509" t="s">
        <v>8</v>
      </c>
      <c r="E509">
        <v>2022</v>
      </c>
      <c r="F509" t="s">
        <v>90</v>
      </c>
      <c r="G509" t="s">
        <v>91</v>
      </c>
      <c r="H509" s="3">
        <v>2118.6555588697602</v>
      </c>
      <c r="I509">
        <f>_FIIPer1000[[#This Row],[No.Per1000Adults]]-H508</f>
        <v>179.62502464659019</v>
      </c>
      <c r="J509" t="s">
        <v>67</v>
      </c>
      <c r="K509" t="s">
        <v>68</v>
      </c>
    </row>
    <row r="510" spans="1:11" hidden="1" x14ac:dyDescent="0.25">
      <c r="A510" t="s">
        <v>5</v>
      </c>
      <c r="B510" t="s">
        <v>6</v>
      </c>
      <c r="C510" t="s">
        <v>7</v>
      </c>
      <c r="D510" t="s">
        <v>8</v>
      </c>
      <c r="E510">
        <v>2023</v>
      </c>
      <c r="F510" t="s">
        <v>90</v>
      </c>
      <c r="G510" t="s">
        <v>91</v>
      </c>
      <c r="H510" s="3">
        <v>2272.2357512357798</v>
      </c>
      <c r="I510">
        <f>_FIIPer1000[[#This Row],[No.Per1000Adults]]-H509</f>
        <v>153.58019236601967</v>
      </c>
      <c r="J510" t="s">
        <v>67</v>
      </c>
      <c r="K510" t="s">
        <v>68</v>
      </c>
    </row>
    <row r="511" spans="1:11" hidden="1" x14ac:dyDescent="0.25">
      <c r="A511" t="s">
        <v>5</v>
      </c>
      <c r="B511" t="s">
        <v>6</v>
      </c>
      <c r="C511" t="s">
        <v>7</v>
      </c>
      <c r="D511" t="s">
        <v>8</v>
      </c>
      <c r="E511">
        <v>2024</v>
      </c>
      <c r="F511" t="s">
        <v>90</v>
      </c>
      <c r="G511" t="s">
        <v>91</v>
      </c>
      <c r="H511" s="3">
        <v>2573.0115816993198</v>
      </c>
      <c r="I511">
        <f>_FIIPer1000[[#This Row],[No.Per1000Adults]]-H510</f>
        <v>300.77583046353993</v>
      </c>
      <c r="J511" t="s">
        <v>67</v>
      </c>
      <c r="K511" t="s">
        <v>68</v>
      </c>
    </row>
    <row r="512" spans="1:11" hidden="1" x14ac:dyDescent="0.25">
      <c r="A512" t="s">
        <v>5</v>
      </c>
      <c r="B512" t="s">
        <v>6</v>
      </c>
      <c r="C512" t="s">
        <v>39</v>
      </c>
      <c r="D512" t="s">
        <v>40</v>
      </c>
      <c r="E512">
        <v>2019</v>
      </c>
      <c r="F512" t="s">
        <v>90</v>
      </c>
      <c r="G512" t="s">
        <v>91</v>
      </c>
      <c r="H512" s="1">
        <v>4672.7742762358803</v>
      </c>
      <c r="J512" t="s">
        <v>67</v>
      </c>
      <c r="K512" t="s">
        <v>68</v>
      </c>
    </row>
    <row r="513" spans="1:11" hidden="1" x14ac:dyDescent="0.25">
      <c r="A513" t="s">
        <v>5</v>
      </c>
      <c r="B513" t="s">
        <v>6</v>
      </c>
      <c r="C513" t="s">
        <v>39</v>
      </c>
      <c r="D513" t="s">
        <v>40</v>
      </c>
      <c r="E513">
        <v>2020</v>
      </c>
      <c r="F513" t="s">
        <v>90</v>
      </c>
      <c r="G513" t="s">
        <v>91</v>
      </c>
      <c r="H513" s="1">
        <v>5139.3268885441103</v>
      </c>
      <c r="I513">
        <f>_FIIPer1000[[#This Row],[No.Per1000Adults]]-H512</f>
        <v>466.55261230822998</v>
      </c>
      <c r="J513" t="s">
        <v>67</v>
      </c>
      <c r="K513" t="s">
        <v>68</v>
      </c>
    </row>
    <row r="514" spans="1:11" hidden="1" x14ac:dyDescent="0.25">
      <c r="A514" t="s">
        <v>5</v>
      </c>
      <c r="B514" t="s">
        <v>6</v>
      </c>
      <c r="C514" t="s">
        <v>39</v>
      </c>
      <c r="D514" t="s">
        <v>40</v>
      </c>
      <c r="E514">
        <v>2021</v>
      </c>
      <c r="F514" t="s">
        <v>90</v>
      </c>
      <c r="G514" t="s">
        <v>91</v>
      </c>
      <c r="H514" s="1">
        <v>5590.4374285221402</v>
      </c>
      <c r="I514">
        <f>_FIIPer1000[[#This Row],[No.Per1000Adults]]-H513</f>
        <v>451.11053997802992</v>
      </c>
      <c r="J514" t="s">
        <v>67</v>
      </c>
      <c r="K514" t="s">
        <v>68</v>
      </c>
    </row>
    <row r="515" spans="1:11" hidden="1" x14ac:dyDescent="0.25">
      <c r="A515" t="s">
        <v>5</v>
      </c>
      <c r="B515" t="s">
        <v>6</v>
      </c>
      <c r="C515" t="s">
        <v>39</v>
      </c>
      <c r="D515" t="s">
        <v>40</v>
      </c>
      <c r="E515">
        <v>2022</v>
      </c>
      <c r="F515" t="s">
        <v>90</v>
      </c>
      <c r="G515" t="s">
        <v>91</v>
      </c>
      <c r="H515" s="1">
        <v>6246.3684534419899</v>
      </c>
      <c r="I515">
        <f>_FIIPer1000[[#This Row],[No.Per1000Adults]]-H514</f>
        <v>655.93102491984973</v>
      </c>
      <c r="J515" t="s">
        <v>67</v>
      </c>
      <c r="K515" t="s">
        <v>68</v>
      </c>
    </row>
    <row r="516" spans="1:11" hidden="1" x14ac:dyDescent="0.25">
      <c r="A516" t="s">
        <v>5</v>
      </c>
      <c r="B516" t="s">
        <v>6</v>
      </c>
      <c r="C516" t="s">
        <v>39</v>
      </c>
      <c r="D516" t="s">
        <v>40</v>
      </c>
      <c r="E516">
        <v>2023</v>
      </c>
      <c r="F516" t="s">
        <v>90</v>
      </c>
      <c r="G516" t="s">
        <v>91</v>
      </c>
      <c r="H516" s="1">
        <v>6812.8327435086903</v>
      </c>
      <c r="I516">
        <f>_FIIPer1000[[#This Row],[No.Per1000Adults]]-H515</f>
        <v>566.46429006670041</v>
      </c>
      <c r="J516" t="s">
        <v>67</v>
      </c>
      <c r="K516" t="s">
        <v>68</v>
      </c>
    </row>
    <row r="517" spans="1:11" hidden="1" x14ac:dyDescent="0.25">
      <c r="A517" t="s">
        <v>5</v>
      </c>
      <c r="B517" t="s">
        <v>6</v>
      </c>
      <c r="C517" t="s">
        <v>39</v>
      </c>
      <c r="D517" t="s">
        <v>40</v>
      </c>
      <c r="E517">
        <v>2024</v>
      </c>
      <c r="F517" t="s">
        <v>90</v>
      </c>
      <c r="G517" t="s">
        <v>91</v>
      </c>
      <c r="H517" s="1">
        <v>7193.3397781106996</v>
      </c>
      <c r="I517">
        <f>_FIIPer1000[[#This Row],[No.Per1000Adults]]-H516</f>
        <v>380.5070346020093</v>
      </c>
      <c r="J517" t="s">
        <v>67</v>
      </c>
      <c r="K517" t="s">
        <v>68</v>
      </c>
    </row>
    <row r="518" spans="1:11" hidden="1" x14ac:dyDescent="0.25">
      <c r="A518" t="s">
        <v>5</v>
      </c>
      <c r="B518" t="s">
        <v>6</v>
      </c>
      <c r="C518" t="s">
        <v>43</v>
      </c>
      <c r="D518" t="s">
        <v>44</v>
      </c>
      <c r="E518">
        <v>2019</v>
      </c>
      <c r="F518" t="s">
        <v>90</v>
      </c>
      <c r="G518" t="s">
        <v>91</v>
      </c>
      <c r="J518" t="s">
        <v>67</v>
      </c>
      <c r="K518" t="s">
        <v>68</v>
      </c>
    </row>
    <row r="519" spans="1:11" hidden="1" x14ac:dyDescent="0.25">
      <c r="A519" t="s">
        <v>5</v>
      </c>
      <c r="B519" t="s">
        <v>6</v>
      </c>
      <c r="C519" t="s">
        <v>43</v>
      </c>
      <c r="D519" t="s">
        <v>44</v>
      </c>
      <c r="E519">
        <v>2020</v>
      </c>
      <c r="F519" t="s">
        <v>90</v>
      </c>
      <c r="G519" t="s">
        <v>91</v>
      </c>
      <c r="J519" t="s">
        <v>67</v>
      </c>
      <c r="K519" t="s">
        <v>68</v>
      </c>
    </row>
    <row r="520" spans="1:11" hidden="1" x14ac:dyDescent="0.25">
      <c r="A520" t="s">
        <v>5</v>
      </c>
      <c r="B520" t="s">
        <v>6</v>
      </c>
      <c r="C520" t="s">
        <v>43</v>
      </c>
      <c r="D520" t="s">
        <v>44</v>
      </c>
      <c r="E520">
        <v>2021</v>
      </c>
      <c r="F520" t="s">
        <v>90</v>
      </c>
      <c r="G520" t="s">
        <v>91</v>
      </c>
      <c r="J520" t="s">
        <v>67</v>
      </c>
      <c r="K520" t="s">
        <v>68</v>
      </c>
    </row>
    <row r="521" spans="1:11" hidden="1" x14ac:dyDescent="0.25">
      <c r="A521" t="s">
        <v>5</v>
      </c>
      <c r="B521" t="s">
        <v>6</v>
      </c>
      <c r="C521" t="s">
        <v>43</v>
      </c>
      <c r="D521" t="s">
        <v>44</v>
      </c>
      <c r="E521">
        <v>2022</v>
      </c>
      <c r="F521" t="s">
        <v>90</v>
      </c>
      <c r="G521" t="s">
        <v>91</v>
      </c>
      <c r="J521" t="s">
        <v>67</v>
      </c>
      <c r="K521" t="s">
        <v>68</v>
      </c>
    </row>
    <row r="522" spans="1:11" hidden="1" x14ac:dyDescent="0.25">
      <c r="A522" t="s">
        <v>5</v>
      </c>
      <c r="B522" t="s">
        <v>6</v>
      </c>
      <c r="C522" t="s">
        <v>43</v>
      </c>
      <c r="D522" t="s">
        <v>44</v>
      </c>
      <c r="E522">
        <v>2023</v>
      </c>
      <c r="F522" t="s">
        <v>90</v>
      </c>
      <c r="G522" t="s">
        <v>91</v>
      </c>
      <c r="J522" t="s">
        <v>67</v>
      </c>
      <c r="K522" t="s">
        <v>68</v>
      </c>
    </row>
    <row r="523" spans="1:11" hidden="1" x14ac:dyDescent="0.25">
      <c r="A523" t="s">
        <v>5</v>
      </c>
      <c r="B523" t="s">
        <v>6</v>
      </c>
      <c r="C523" t="s">
        <v>43</v>
      </c>
      <c r="D523" t="s">
        <v>44</v>
      </c>
      <c r="E523">
        <v>2024</v>
      </c>
      <c r="F523" t="s">
        <v>90</v>
      </c>
      <c r="G523" t="s">
        <v>91</v>
      </c>
      <c r="J523" t="s">
        <v>67</v>
      </c>
      <c r="K523" t="s">
        <v>68</v>
      </c>
    </row>
    <row r="524" spans="1:11" hidden="1" x14ac:dyDescent="0.25">
      <c r="A524" t="s">
        <v>5</v>
      </c>
      <c r="B524" t="s">
        <v>6</v>
      </c>
      <c r="C524" t="s">
        <v>25</v>
      </c>
      <c r="D524" t="s">
        <v>26</v>
      </c>
      <c r="E524">
        <v>2019</v>
      </c>
      <c r="F524" t="s">
        <v>90</v>
      </c>
      <c r="G524" t="s">
        <v>91</v>
      </c>
      <c r="H524" s="1">
        <v>1602.27874269065</v>
      </c>
      <c r="J524" t="s">
        <v>67</v>
      </c>
      <c r="K524" t="s">
        <v>68</v>
      </c>
    </row>
    <row r="525" spans="1:11" hidden="1" x14ac:dyDescent="0.25">
      <c r="A525" t="s">
        <v>5</v>
      </c>
      <c r="B525" t="s">
        <v>6</v>
      </c>
      <c r="C525" t="s">
        <v>25</v>
      </c>
      <c r="D525" t="s">
        <v>26</v>
      </c>
      <c r="E525">
        <v>2020</v>
      </c>
      <c r="F525" t="s">
        <v>90</v>
      </c>
      <c r="G525" t="s">
        <v>91</v>
      </c>
      <c r="H525" s="1">
        <v>1851.80177286767</v>
      </c>
      <c r="I525">
        <f>_FIIPer1000[[#This Row],[No.Per1000Adults]]-H524</f>
        <v>249.52303017702002</v>
      </c>
      <c r="J525" t="s">
        <v>67</v>
      </c>
      <c r="K525" t="s">
        <v>68</v>
      </c>
    </row>
    <row r="526" spans="1:11" hidden="1" x14ac:dyDescent="0.25">
      <c r="A526" t="s">
        <v>5</v>
      </c>
      <c r="B526" t="s">
        <v>6</v>
      </c>
      <c r="C526" t="s">
        <v>25</v>
      </c>
      <c r="D526" t="s">
        <v>26</v>
      </c>
      <c r="E526">
        <v>2021</v>
      </c>
      <c r="F526" t="s">
        <v>90</v>
      </c>
      <c r="G526" t="s">
        <v>91</v>
      </c>
      <c r="H526" s="1">
        <v>2097.2426975642302</v>
      </c>
      <c r="I526">
        <f>_FIIPer1000[[#This Row],[No.Per1000Adults]]-H525</f>
        <v>245.44092469656016</v>
      </c>
      <c r="J526" t="s">
        <v>67</v>
      </c>
      <c r="K526" t="s">
        <v>68</v>
      </c>
    </row>
    <row r="527" spans="1:11" hidden="1" x14ac:dyDescent="0.25">
      <c r="A527" t="s">
        <v>5</v>
      </c>
      <c r="B527" t="s">
        <v>6</v>
      </c>
      <c r="C527" t="s">
        <v>25</v>
      </c>
      <c r="D527" t="s">
        <v>26</v>
      </c>
      <c r="E527">
        <v>2022</v>
      </c>
      <c r="F527" t="s">
        <v>90</v>
      </c>
      <c r="G527" t="s">
        <v>91</v>
      </c>
      <c r="H527" s="1">
        <v>1847.0250969097899</v>
      </c>
      <c r="I527">
        <f>_FIIPer1000[[#This Row],[No.Per1000Adults]]-H526</f>
        <v>-250.21760065444028</v>
      </c>
      <c r="J527" t="s">
        <v>67</v>
      </c>
      <c r="K527" t="s">
        <v>68</v>
      </c>
    </row>
    <row r="528" spans="1:11" hidden="1" x14ac:dyDescent="0.25">
      <c r="A528" t="s">
        <v>5</v>
      </c>
      <c r="B528" t="s">
        <v>6</v>
      </c>
      <c r="C528" t="s">
        <v>25</v>
      </c>
      <c r="D528" t="s">
        <v>26</v>
      </c>
      <c r="E528">
        <v>2023</v>
      </c>
      <c r="F528" t="s">
        <v>90</v>
      </c>
      <c r="G528" t="s">
        <v>91</v>
      </c>
      <c r="H528" s="1">
        <v>2002.7718028988299</v>
      </c>
      <c r="I528">
        <f>_FIIPer1000[[#This Row],[No.Per1000Adults]]-H527</f>
        <v>155.74670598904004</v>
      </c>
      <c r="J528" t="s">
        <v>67</v>
      </c>
      <c r="K528" t="s">
        <v>68</v>
      </c>
    </row>
    <row r="529" spans="1:11" hidden="1" x14ac:dyDescent="0.25">
      <c r="A529" t="s">
        <v>5</v>
      </c>
      <c r="B529" t="s">
        <v>6</v>
      </c>
      <c r="C529" t="s">
        <v>25</v>
      </c>
      <c r="D529" t="s">
        <v>26</v>
      </c>
      <c r="E529">
        <v>2024</v>
      </c>
      <c r="F529" t="s">
        <v>90</v>
      </c>
      <c r="G529" t="s">
        <v>91</v>
      </c>
      <c r="H529" s="1">
        <v>2171.5209973098999</v>
      </c>
      <c r="I529">
        <f>_FIIPer1000[[#This Row],[No.Per1000Adults]]-H528</f>
        <v>168.74919441106999</v>
      </c>
      <c r="J529" t="s">
        <v>67</v>
      </c>
      <c r="K529" t="s">
        <v>68</v>
      </c>
    </row>
    <row r="530" spans="1:11" hidden="1" x14ac:dyDescent="0.25">
      <c r="A530" t="s">
        <v>5</v>
      </c>
      <c r="B530" t="s">
        <v>6</v>
      </c>
      <c r="C530" t="s">
        <v>27</v>
      </c>
      <c r="D530" t="s">
        <v>28</v>
      </c>
      <c r="E530">
        <v>2019</v>
      </c>
      <c r="F530" t="s">
        <v>90</v>
      </c>
      <c r="G530" t="s">
        <v>91</v>
      </c>
      <c r="H530" s="1">
        <v>718.89626315504495</v>
      </c>
      <c r="J530" t="s">
        <v>67</v>
      </c>
      <c r="K530" t="s">
        <v>68</v>
      </c>
    </row>
    <row r="531" spans="1:11" hidden="1" x14ac:dyDescent="0.25">
      <c r="A531" t="s">
        <v>5</v>
      </c>
      <c r="B531" t="s">
        <v>6</v>
      </c>
      <c r="C531" t="s">
        <v>27</v>
      </c>
      <c r="D531" t="s">
        <v>28</v>
      </c>
      <c r="E531">
        <v>2020</v>
      </c>
      <c r="F531" t="s">
        <v>90</v>
      </c>
      <c r="G531" t="s">
        <v>91</v>
      </c>
      <c r="H531" s="1">
        <v>746.53518926091999</v>
      </c>
      <c r="I531">
        <f>_FIIPer1000[[#This Row],[No.Per1000Adults]]-H530</f>
        <v>27.638926105875044</v>
      </c>
      <c r="J531" t="s">
        <v>67</v>
      </c>
      <c r="K531" t="s">
        <v>68</v>
      </c>
    </row>
    <row r="532" spans="1:11" hidden="1" x14ac:dyDescent="0.25">
      <c r="A532" t="s">
        <v>5</v>
      </c>
      <c r="B532" t="s">
        <v>6</v>
      </c>
      <c r="C532" t="s">
        <v>27</v>
      </c>
      <c r="D532" t="s">
        <v>28</v>
      </c>
      <c r="E532">
        <v>2021</v>
      </c>
      <c r="F532" t="s">
        <v>90</v>
      </c>
      <c r="G532" t="s">
        <v>91</v>
      </c>
      <c r="H532" s="1">
        <v>764.81287042045597</v>
      </c>
      <c r="I532">
        <f>_FIIPer1000[[#This Row],[No.Per1000Adults]]-H531</f>
        <v>18.277681159535973</v>
      </c>
      <c r="J532" t="s">
        <v>67</v>
      </c>
      <c r="K532" t="s">
        <v>68</v>
      </c>
    </row>
    <row r="533" spans="1:11" hidden="1" x14ac:dyDescent="0.25">
      <c r="A533" t="s">
        <v>5</v>
      </c>
      <c r="B533" t="s">
        <v>6</v>
      </c>
      <c r="C533" t="s">
        <v>27</v>
      </c>
      <c r="D533" t="s">
        <v>28</v>
      </c>
      <c r="E533">
        <v>2022</v>
      </c>
      <c r="F533" t="s">
        <v>90</v>
      </c>
      <c r="G533" t="s">
        <v>91</v>
      </c>
      <c r="H533" s="1">
        <v>780.99711570174304</v>
      </c>
      <c r="I533">
        <f>_FIIPer1000[[#This Row],[No.Per1000Adults]]-H532</f>
        <v>16.184245281287076</v>
      </c>
      <c r="J533" t="s">
        <v>67</v>
      </c>
      <c r="K533" t="s">
        <v>68</v>
      </c>
    </row>
    <row r="534" spans="1:11" hidden="1" x14ac:dyDescent="0.25">
      <c r="A534" t="s">
        <v>5</v>
      </c>
      <c r="B534" t="s">
        <v>6</v>
      </c>
      <c r="C534" t="s">
        <v>27</v>
      </c>
      <c r="D534" t="s">
        <v>28</v>
      </c>
      <c r="E534">
        <v>2023</v>
      </c>
      <c r="F534" t="s">
        <v>90</v>
      </c>
      <c r="G534" t="s">
        <v>91</v>
      </c>
      <c r="H534" s="1">
        <v>792.75590454558096</v>
      </c>
      <c r="I534">
        <f>_FIIPer1000[[#This Row],[No.Per1000Adults]]-H533</f>
        <v>11.75878884383792</v>
      </c>
      <c r="J534" t="s">
        <v>67</v>
      </c>
      <c r="K534" t="s">
        <v>68</v>
      </c>
    </row>
    <row r="535" spans="1:11" hidden="1" x14ac:dyDescent="0.25">
      <c r="A535" t="s">
        <v>5</v>
      </c>
      <c r="B535" t="s">
        <v>6</v>
      </c>
      <c r="C535" t="s">
        <v>27</v>
      </c>
      <c r="D535" t="s">
        <v>28</v>
      </c>
      <c r="E535">
        <v>2024</v>
      </c>
      <c r="F535" t="s">
        <v>90</v>
      </c>
      <c r="G535" t="s">
        <v>91</v>
      </c>
      <c r="H535" s="1">
        <v>812.21194636478003</v>
      </c>
      <c r="I535">
        <f>_FIIPer1000[[#This Row],[No.Per1000Adults]]-H534</f>
        <v>19.456041819199072</v>
      </c>
      <c r="J535" t="s">
        <v>67</v>
      </c>
      <c r="K535" t="s">
        <v>68</v>
      </c>
    </row>
    <row r="536" spans="1:11" hidden="1" x14ac:dyDescent="0.25">
      <c r="A536" t="s">
        <v>5</v>
      </c>
      <c r="B536" t="s">
        <v>6</v>
      </c>
      <c r="C536" t="s">
        <v>33</v>
      </c>
      <c r="D536" t="s">
        <v>34</v>
      </c>
      <c r="E536">
        <v>2019</v>
      </c>
      <c r="F536" t="s">
        <v>90</v>
      </c>
      <c r="G536" t="s">
        <v>91</v>
      </c>
      <c r="H536" s="1">
        <v>1064.7135520801201</v>
      </c>
      <c r="J536" t="s">
        <v>67</v>
      </c>
      <c r="K536" t="s">
        <v>68</v>
      </c>
    </row>
    <row r="537" spans="1:11" hidden="1" x14ac:dyDescent="0.25">
      <c r="A537" t="s">
        <v>5</v>
      </c>
      <c r="B537" t="s">
        <v>6</v>
      </c>
      <c r="C537" t="s">
        <v>33</v>
      </c>
      <c r="D537" t="s">
        <v>34</v>
      </c>
      <c r="E537">
        <v>2020</v>
      </c>
      <c r="F537" t="s">
        <v>90</v>
      </c>
      <c r="G537" t="s">
        <v>91</v>
      </c>
      <c r="H537" s="1">
        <v>1120.68720558719</v>
      </c>
      <c r="I537">
        <f>_FIIPer1000[[#This Row],[No.Per1000Adults]]-H536</f>
        <v>55.973653507069912</v>
      </c>
      <c r="J537" t="s">
        <v>67</v>
      </c>
      <c r="K537" t="s">
        <v>68</v>
      </c>
    </row>
    <row r="538" spans="1:11" hidden="1" x14ac:dyDescent="0.25">
      <c r="A538" t="s">
        <v>5</v>
      </c>
      <c r="B538" t="s">
        <v>6</v>
      </c>
      <c r="C538" t="s">
        <v>33</v>
      </c>
      <c r="D538" t="s">
        <v>34</v>
      </c>
      <c r="E538">
        <v>2021</v>
      </c>
      <c r="F538" t="s">
        <v>90</v>
      </c>
      <c r="G538" t="s">
        <v>91</v>
      </c>
      <c r="H538" s="1">
        <v>1156.09949210488</v>
      </c>
      <c r="I538">
        <f>_FIIPer1000[[#This Row],[No.Per1000Adults]]-H537</f>
        <v>35.412286517690063</v>
      </c>
      <c r="J538" t="s">
        <v>67</v>
      </c>
      <c r="K538" t="s">
        <v>68</v>
      </c>
    </row>
    <row r="539" spans="1:11" hidden="1" x14ac:dyDescent="0.25">
      <c r="A539" t="s">
        <v>5</v>
      </c>
      <c r="B539" t="s">
        <v>6</v>
      </c>
      <c r="C539" t="s">
        <v>33</v>
      </c>
      <c r="D539" t="s">
        <v>34</v>
      </c>
      <c r="E539">
        <v>2022</v>
      </c>
      <c r="F539" t="s">
        <v>90</v>
      </c>
      <c r="G539" t="s">
        <v>91</v>
      </c>
      <c r="H539" s="1">
        <v>1166.29656595957</v>
      </c>
      <c r="I539">
        <f>_FIIPer1000[[#This Row],[No.Per1000Adults]]-H538</f>
        <v>10.197073854689961</v>
      </c>
      <c r="J539" t="s">
        <v>67</v>
      </c>
      <c r="K539" t="s">
        <v>68</v>
      </c>
    </row>
    <row r="540" spans="1:11" hidden="1" x14ac:dyDescent="0.25">
      <c r="A540" t="s">
        <v>5</v>
      </c>
      <c r="B540" t="s">
        <v>6</v>
      </c>
      <c r="C540" t="s">
        <v>33</v>
      </c>
      <c r="D540" t="s">
        <v>34</v>
      </c>
      <c r="E540">
        <v>2023</v>
      </c>
      <c r="F540" t="s">
        <v>90</v>
      </c>
      <c r="G540" t="s">
        <v>91</v>
      </c>
      <c r="H540" s="1">
        <v>1156.6204680281201</v>
      </c>
      <c r="I540">
        <f>_FIIPer1000[[#This Row],[No.Per1000Adults]]-H539</f>
        <v>-9.6760979314499309</v>
      </c>
      <c r="J540" t="s">
        <v>67</v>
      </c>
      <c r="K540" t="s">
        <v>68</v>
      </c>
    </row>
    <row r="541" spans="1:11" hidden="1" x14ac:dyDescent="0.25">
      <c r="A541" t="s">
        <v>5</v>
      </c>
      <c r="B541" t="s">
        <v>6</v>
      </c>
      <c r="C541" t="s">
        <v>33</v>
      </c>
      <c r="D541" t="s">
        <v>34</v>
      </c>
      <c r="E541">
        <v>2024</v>
      </c>
      <c r="F541" t="s">
        <v>90</v>
      </c>
      <c r="G541" t="s">
        <v>91</v>
      </c>
      <c r="H541" s="1">
        <v>1193.97549126591</v>
      </c>
      <c r="I541">
        <f>_FIIPer1000[[#This Row],[No.Per1000Adults]]-H540</f>
        <v>37.355023237789965</v>
      </c>
      <c r="J541" t="s">
        <v>67</v>
      </c>
      <c r="K541" t="s">
        <v>68</v>
      </c>
    </row>
    <row r="542" spans="1:11" hidden="1" x14ac:dyDescent="0.25">
      <c r="A542" t="s">
        <v>5</v>
      </c>
      <c r="B542" t="s">
        <v>6</v>
      </c>
      <c r="C542" t="s">
        <v>31</v>
      </c>
      <c r="D542" t="s">
        <v>32</v>
      </c>
      <c r="E542">
        <v>2019</v>
      </c>
      <c r="F542" t="s">
        <v>90</v>
      </c>
      <c r="G542" t="s">
        <v>91</v>
      </c>
      <c r="H542" s="1">
        <v>6079.6068935661897</v>
      </c>
      <c r="J542" t="s">
        <v>67</v>
      </c>
      <c r="K542" t="s">
        <v>68</v>
      </c>
    </row>
    <row r="543" spans="1:11" hidden="1" x14ac:dyDescent="0.25">
      <c r="A543" t="s">
        <v>5</v>
      </c>
      <c r="B543" t="s">
        <v>6</v>
      </c>
      <c r="C543" t="s">
        <v>31</v>
      </c>
      <c r="D543" t="s">
        <v>32</v>
      </c>
      <c r="E543">
        <v>2020</v>
      </c>
      <c r="F543" t="s">
        <v>90</v>
      </c>
      <c r="G543" t="s">
        <v>91</v>
      </c>
      <c r="H543" s="1">
        <v>6359.1645495865596</v>
      </c>
      <c r="I543">
        <f>_FIIPer1000[[#This Row],[No.Per1000Adults]]-H542</f>
        <v>279.5576560203699</v>
      </c>
      <c r="J543" t="s">
        <v>67</v>
      </c>
      <c r="K543" t="s">
        <v>68</v>
      </c>
    </row>
    <row r="544" spans="1:11" hidden="1" x14ac:dyDescent="0.25">
      <c r="A544" t="s">
        <v>5</v>
      </c>
      <c r="B544" t="s">
        <v>6</v>
      </c>
      <c r="C544" t="s">
        <v>31</v>
      </c>
      <c r="D544" t="s">
        <v>32</v>
      </c>
      <c r="E544">
        <v>2021</v>
      </c>
      <c r="F544" t="s">
        <v>90</v>
      </c>
      <c r="G544" t="s">
        <v>91</v>
      </c>
      <c r="H544" s="1">
        <v>6686.2473100523503</v>
      </c>
      <c r="I544">
        <f>_FIIPer1000[[#This Row],[No.Per1000Adults]]-H543</f>
        <v>327.08276046579067</v>
      </c>
      <c r="J544" t="s">
        <v>67</v>
      </c>
      <c r="K544" t="s">
        <v>68</v>
      </c>
    </row>
    <row r="545" spans="1:11" hidden="1" x14ac:dyDescent="0.25">
      <c r="A545" t="s">
        <v>5</v>
      </c>
      <c r="B545" t="s">
        <v>6</v>
      </c>
      <c r="C545" t="s">
        <v>31</v>
      </c>
      <c r="D545" t="s">
        <v>32</v>
      </c>
      <c r="E545">
        <v>2022</v>
      </c>
      <c r="F545" t="s">
        <v>90</v>
      </c>
      <c r="G545" t="s">
        <v>91</v>
      </c>
      <c r="H545" s="1">
        <v>7180.1286514631001</v>
      </c>
      <c r="I545">
        <f>_FIIPer1000[[#This Row],[No.Per1000Adults]]-H544</f>
        <v>493.88134141074988</v>
      </c>
      <c r="J545" t="s">
        <v>67</v>
      </c>
      <c r="K545" t="s">
        <v>68</v>
      </c>
    </row>
    <row r="546" spans="1:11" hidden="1" x14ac:dyDescent="0.25">
      <c r="A546" t="s">
        <v>5</v>
      </c>
      <c r="B546" t="s">
        <v>6</v>
      </c>
      <c r="C546" t="s">
        <v>31</v>
      </c>
      <c r="D546" t="s">
        <v>32</v>
      </c>
      <c r="E546">
        <v>2023</v>
      </c>
      <c r="F546" t="s">
        <v>90</v>
      </c>
      <c r="G546" t="s">
        <v>91</v>
      </c>
      <c r="H546" s="1">
        <v>7340.8773196476404</v>
      </c>
      <c r="I546">
        <f>_FIIPer1000[[#This Row],[No.Per1000Adults]]-H545</f>
        <v>160.74866818454029</v>
      </c>
      <c r="J546" t="s">
        <v>67</v>
      </c>
      <c r="K546" t="s">
        <v>68</v>
      </c>
    </row>
    <row r="547" spans="1:11" hidden="1" x14ac:dyDescent="0.25">
      <c r="A547" t="s">
        <v>5</v>
      </c>
      <c r="B547" t="s">
        <v>6</v>
      </c>
      <c r="C547" t="s">
        <v>31</v>
      </c>
      <c r="D547" t="s">
        <v>32</v>
      </c>
      <c r="E547">
        <v>2024</v>
      </c>
      <c r="F547" t="s">
        <v>90</v>
      </c>
      <c r="G547" t="s">
        <v>91</v>
      </c>
      <c r="H547" s="1">
        <v>7547.1974515852198</v>
      </c>
      <c r="I547">
        <f>_FIIPer1000[[#This Row],[No.Per1000Adults]]-H546</f>
        <v>206.32013193757939</v>
      </c>
      <c r="J547" t="s">
        <v>67</v>
      </c>
      <c r="K547" t="s">
        <v>68</v>
      </c>
    </row>
    <row r="548" spans="1:11" hidden="1" x14ac:dyDescent="0.25">
      <c r="A548" t="s">
        <v>5</v>
      </c>
      <c r="B548" t="s">
        <v>6</v>
      </c>
      <c r="C548" t="s">
        <v>35</v>
      </c>
      <c r="D548" t="s">
        <v>36</v>
      </c>
      <c r="E548">
        <v>2019</v>
      </c>
      <c r="F548" t="s">
        <v>90</v>
      </c>
      <c r="G548" t="s">
        <v>91</v>
      </c>
      <c r="J548" t="s">
        <v>67</v>
      </c>
      <c r="K548" t="s">
        <v>68</v>
      </c>
    </row>
    <row r="549" spans="1:11" hidden="1" x14ac:dyDescent="0.25">
      <c r="A549" t="s">
        <v>5</v>
      </c>
      <c r="B549" t="s">
        <v>6</v>
      </c>
      <c r="C549" t="s">
        <v>35</v>
      </c>
      <c r="D549" t="s">
        <v>36</v>
      </c>
      <c r="E549">
        <v>2020</v>
      </c>
      <c r="F549" t="s">
        <v>90</v>
      </c>
      <c r="G549" t="s">
        <v>91</v>
      </c>
      <c r="J549" t="s">
        <v>67</v>
      </c>
      <c r="K549" t="s">
        <v>68</v>
      </c>
    </row>
    <row r="550" spans="1:11" hidden="1" x14ac:dyDescent="0.25">
      <c r="A550" t="s">
        <v>5</v>
      </c>
      <c r="B550" t="s">
        <v>6</v>
      </c>
      <c r="C550" t="s">
        <v>35</v>
      </c>
      <c r="D550" t="s">
        <v>36</v>
      </c>
      <c r="E550">
        <v>2021</v>
      </c>
      <c r="F550" t="s">
        <v>90</v>
      </c>
      <c r="G550" t="s">
        <v>91</v>
      </c>
      <c r="J550" t="s">
        <v>67</v>
      </c>
      <c r="K550" t="s">
        <v>68</v>
      </c>
    </row>
    <row r="551" spans="1:11" hidden="1" x14ac:dyDescent="0.25">
      <c r="A551" t="s">
        <v>5</v>
      </c>
      <c r="B551" t="s">
        <v>6</v>
      </c>
      <c r="C551" t="s">
        <v>35</v>
      </c>
      <c r="D551" t="s">
        <v>36</v>
      </c>
      <c r="E551">
        <v>2022</v>
      </c>
      <c r="F551" t="s">
        <v>90</v>
      </c>
      <c r="G551" t="s">
        <v>91</v>
      </c>
      <c r="J551" t="s">
        <v>67</v>
      </c>
      <c r="K551" t="s">
        <v>68</v>
      </c>
    </row>
    <row r="552" spans="1:11" hidden="1" x14ac:dyDescent="0.25">
      <c r="A552" t="s">
        <v>5</v>
      </c>
      <c r="B552" t="s">
        <v>6</v>
      </c>
      <c r="C552" t="s">
        <v>35</v>
      </c>
      <c r="D552" t="s">
        <v>36</v>
      </c>
      <c r="E552">
        <v>2023</v>
      </c>
      <c r="F552" t="s">
        <v>90</v>
      </c>
      <c r="G552" t="s">
        <v>91</v>
      </c>
      <c r="J552" t="s">
        <v>67</v>
      </c>
      <c r="K552" t="s">
        <v>68</v>
      </c>
    </row>
    <row r="553" spans="1:11" hidden="1" x14ac:dyDescent="0.25">
      <c r="A553" t="s">
        <v>5</v>
      </c>
      <c r="B553" t="s">
        <v>6</v>
      </c>
      <c r="C553" t="s">
        <v>35</v>
      </c>
      <c r="D553" t="s">
        <v>36</v>
      </c>
      <c r="E553">
        <v>2024</v>
      </c>
      <c r="F553" t="s">
        <v>90</v>
      </c>
      <c r="G553" t="s">
        <v>91</v>
      </c>
      <c r="J553" t="s">
        <v>67</v>
      </c>
      <c r="K553" t="s">
        <v>68</v>
      </c>
    </row>
    <row r="554" spans="1:11" hidden="1" x14ac:dyDescent="0.25">
      <c r="A554" t="s">
        <v>5</v>
      </c>
      <c r="B554" t="s">
        <v>6</v>
      </c>
      <c r="C554" t="s">
        <v>37</v>
      </c>
      <c r="D554" t="s">
        <v>38</v>
      </c>
      <c r="E554">
        <v>2019</v>
      </c>
      <c r="F554" t="s">
        <v>90</v>
      </c>
      <c r="G554" t="s">
        <v>91</v>
      </c>
      <c r="H554" s="1">
        <v>1504.4872316670501</v>
      </c>
      <c r="J554" t="s">
        <v>67</v>
      </c>
      <c r="K554" t="s">
        <v>68</v>
      </c>
    </row>
    <row r="555" spans="1:11" hidden="1" x14ac:dyDescent="0.25">
      <c r="A555" t="s">
        <v>5</v>
      </c>
      <c r="B555" t="s">
        <v>6</v>
      </c>
      <c r="C555" t="s">
        <v>37</v>
      </c>
      <c r="D555" t="s">
        <v>38</v>
      </c>
      <c r="E555">
        <v>2020</v>
      </c>
      <c r="F555" t="s">
        <v>90</v>
      </c>
      <c r="G555" t="s">
        <v>91</v>
      </c>
      <c r="H555" s="1">
        <v>1587.37686223797</v>
      </c>
      <c r="I555">
        <f>_FIIPer1000[[#This Row],[No.Per1000Adults]]-H554</f>
        <v>82.889630570919962</v>
      </c>
      <c r="J555" t="s">
        <v>67</v>
      </c>
      <c r="K555" t="s">
        <v>68</v>
      </c>
    </row>
    <row r="556" spans="1:11" hidden="1" x14ac:dyDescent="0.25">
      <c r="A556" t="s">
        <v>5</v>
      </c>
      <c r="B556" t="s">
        <v>6</v>
      </c>
      <c r="C556" t="s">
        <v>37</v>
      </c>
      <c r="D556" t="s">
        <v>38</v>
      </c>
      <c r="E556">
        <v>2021</v>
      </c>
      <c r="F556" t="s">
        <v>90</v>
      </c>
      <c r="G556" t="s">
        <v>91</v>
      </c>
      <c r="H556" s="1">
        <v>1802.5618319755499</v>
      </c>
      <c r="I556">
        <f>_FIIPer1000[[#This Row],[No.Per1000Adults]]-H555</f>
        <v>215.18496973757988</v>
      </c>
      <c r="J556" t="s">
        <v>67</v>
      </c>
      <c r="K556" t="s">
        <v>68</v>
      </c>
    </row>
    <row r="557" spans="1:11" hidden="1" x14ac:dyDescent="0.25">
      <c r="A557" t="s">
        <v>5</v>
      </c>
      <c r="B557" t="s">
        <v>6</v>
      </c>
      <c r="C557" t="s">
        <v>37</v>
      </c>
      <c r="D557" t="s">
        <v>38</v>
      </c>
      <c r="E557">
        <v>2022</v>
      </c>
      <c r="F557" t="s">
        <v>90</v>
      </c>
      <c r="G557" t="s">
        <v>91</v>
      </c>
      <c r="H557" s="1">
        <v>2165.1939408798198</v>
      </c>
      <c r="I557">
        <f>_FIIPer1000[[#This Row],[No.Per1000Adults]]-H556</f>
        <v>362.6321089042699</v>
      </c>
      <c r="J557" t="s">
        <v>67</v>
      </c>
      <c r="K557" t="s">
        <v>68</v>
      </c>
    </row>
    <row r="558" spans="1:11" hidden="1" x14ac:dyDescent="0.25">
      <c r="A558" t="s">
        <v>5</v>
      </c>
      <c r="B558" t="s">
        <v>6</v>
      </c>
      <c r="C558" t="s">
        <v>37</v>
      </c>
      <c r="D558" t="s">
        <v>38</v>
      </c>
      <c r="E558">
        <v>2023</v>
      </c>
      <c r="F558" t="s">
        <v>90</v>
      </c>
      <c r="G558" t="s">
        <v>91</v>
      </c>
      <c r="H558" s="1">
        <v>2398.5335343913398</v>
      </c>
      <c r="I558">
        <f>_FIIPer1000[[#This Row],[No.Per1000Adults]]-H557</f>
        <v>233.33959351151998</v>
      </c>
      <c r="J558" t="s">
        <v>67</v>
      </c>
      <c r="K558" t="s">
        <v>68</v>
      </c>
    </row>
    <row r="559" spans="1:11" hidden="1" x14ac:dyDescent="0.25">
      <c r="A559" t="s">
        <v>5</v>
      </c>
      <c r="B559" t="s">
        <v>6</v>
      </c>
      <c r="C559" t="s">
        <v>37</v>
      </c>
      <c r="D559" t="s">
        <v>38</v>
      </c>
      <c r="E559">
        <v>2024</v>
      </c>
      <c r="F559" t="s">
        <v>90</v>
      </c>
      <c r="G559" t="s">
        <v>91</v>
      </c>
      <c r="H559" s="1">
        <v>2684.0073887451199</v>
      </c>
      <c r="I559">
        <f>_FIIPer1000[[#This Row],[No.Per1000Adults]]-H558</f>
        <v>285.4738543537801</v>
      </c>
      <c r="J559" t="s">
        <v>67</v>
      </c>
      <c r="K559" t="s">
        <v>68</v>
      </c>
    </row>
    <row r="560" spans="1:11" hidden="1" x14ac:dyDescent="0.25">
      <c r="A560" t="s">
        <v>5</v>
      </c>
      <c r="B560" t="s">
        <v>6</v>
      </c>
      <c r="C560" t="s">
        <v>41</v>
      </c>
      <c r="D560" t="s">
        <v>42</v>
      </c>
      <c r="E560">
        <v>2019</v>
      </c>
      <c r="F560" t="s">
        <v>90</v>
      </c>
      <c r="G560" t="s">
        <v>91</v>
      </c>
      <c r="J560" t="s">
        <v>67</v>
      </c>
      <c r="K560" t="s">
        <v>68</v>
      </c>
    </row>
    <row r="561" spans="1:11" hidden="1" x14ac:dyDescent="0.25">
      <c r="A561" t="s">
        <v>5</v>
      </c>
      <c r="B561" t="s">
        <v>6</v>
      </c>
      <c r="C561" t="s">
        <v>41</v>
      </c>
      <c r="D561" t="s">
        <v>42</v>
      </c>
      <c r="E561">
        <v>2020</v>
      </c>
      <c r="F561" t="s">
        <v>90</v>
      </c>
      <c r="G561" t="s">
        <v>91</v>
      </c>
      <c r="J561" t="s">
        <v>67</v>
      </c>
      <c r="K561" t="s">
        <v>68</v>
      </c>
    </row>
    <row r="562" spans="1:11" hidden="1" x14ac:dyDescent="0.25">
      <c r="A562" t="s">
        <v>5</v>
      </c>
      <c r="B562" t="s">
        <v>6</v>
      </c>
      <c r="C562" t="s">
        <v>41</v>
      </c>
      <c r="D562" t="s">
        <v>42</v>
      </c>
      <c r="E562">
        <v>2021</v>
      </c>
      <c r="F562" t="s">
        <v>90</v>
      </c>
      <c r="G562" t="s">
        <v>91</v>
      </c>
      <c r="J562" t="s">
        <v>67</v>
      </c>
      <c r="K562" t="s">
        <v>68</v>
      </c>
    </row>
    <row r="563" spans="1:11" hidden="1" x14ac:dyDescent="0.25">
      <c r="A563" t="s">
        <v>5</v>
      </c>
      <c r="B563" t="s">
        <v>6</v>
      </c>
      <c r="C563" t="s">
        <v>41</v>
      </c>
      <c r="D563" t="s">
        <v>42</v>
      </c>
      <c r="E563">
        <v>2022</v>
      </c>
      <c r="F563" t="s">
        <v>90</v>
      </c>
      <c r="G563" t="s">
        <v>91</v>
      </c>
      <c r="J563" t="s">
        <v>67</v>
      </c>
      <c r="K563" t="s">
        <v>68</v>
      </c>
    </row>
    <row r="564" spans="1:11" hidden="1" x14ac:dyDescent="0.25">
      <c r="A564" t="s">
        <v>5</v>
      </c>
      <c r="B564" t="s">
        <v>6</v>
      </c>
      <c r="C564" t="s">
        <v>41</v>
      </c>
      <c r="D564" t="s">
        <v>42</v>
      </c>
      <c r="E564">
        <v>2023</v>
      </c>
      <c r="F564" t="s">
        <v>90</v>
      </c>
      <c r="G564" t="s">
        <v>91</v>
      </c>
      <c r="J564" t="s">
        <v>67</v>
      </c>
      <c r="K564" t="s">
        <v>68</v>
      </c>
    </row>
    <row r="565" spans="1:11" hidden="1" x14ac:dyDescent="0.25">
      <c r="A565" t="s">
        <v>5</v>
      </c>
      <c r="B565" t="s">
        <v>6</v>
      </c>
      <c r="C565" t="s">
        <v>41</v>
      </c>
      <c r="D565" t="s">
        <v>42</v>
      </c>
      <c r="E565">
        <v>2024</v>
      </c>
      <c r="F565" t="s">
        <v>90</v>
      </c>
      <c r="G565" t="s">
        <v>91</v>
      </c>
      <c r="J565" t="s">
        <v>67</v>
      </c>
      <c r="K565" t="s">
        <v>68</v>
      </c>
    </row>
    <row r="566" spans="1:11" hidden="1" x14ac:dyDescent="0.25">
      <c r="A566" t="s">
        <v>45</v>
      </c>
      <c r="B566" t="s">
        <v>46</v>
      </c>
      <c r="C566" t="s">
        <v>47</v>
      </c>
      <c r="D566" t="s">
        <v>48</v>
      </c>
      <c r="E566">
        <v>2019</v>
      </c>
      <c r="F566" t="s">
        <v>90</v>
      </c>
      <c r="G566" t="s">
        <v>91</v>
      </c>
      <c r="H566" s="2"/>
      <c r="J566" t="s">
        <v>67</v>
      </c>
      <c r="K566" t="s">
        <v>68</v>
      </c>
    </row>
    <row r="567" spans="1:11" hidden="1" x14ac:dyDescent="0.25">
      <c r="A567" t="s">
        <v>45</v>
      </c>
      <c r="B567" t="s">
        <v>46</v>
      </c>
      <c r="C567" t="s">
        <v>47</v>
      </c>
      <c r="D567" t="s">
        <v>48</v>
      </c>
      <c r="E567">
        <v>2020</v>
      </c>
      <c r="F567" t="s">
        <v>90</v>
      </c>
      <c r="G567" t="s">
        <v>91</v>
      </c>
      <c r="H567" s="2"/>
      <c r="J567" t="s">
        <v>67</v>
      </c>
      <c r="K567" t="s">
        <v>68</v>
      </c>
    </row>
    <row r="568" spans="1:11" hidden="1" x14ac:dyDescent="0.25">
      <c r="A568" t="s">
        <v>45</v>
      </c>
      <c r="B568" t="s">
        <v>46</v>
      </c>
      <c r="C568" t="s">
        <v>47</v>
      </c>
      <c r="D568" t="s">
        <v>48</v>
      </c>
      <c r="E568">
        <v>2021</v>
      </c>
      <c r="F568" t="s">
        <v>90</v>
      </c>
      <c r="G568" t="s">
        <v>91</v>
      </c>
      <c r="H568" s="1">
        <v>2044.01328989026</v>
      </c>
      <c r="J568" t="s">
        <v>67</v>
      </c>
      <c r="K568" t="s">
        <v>68</v>
      </c>
    </row>
    <row r="569" spans="1:11" hidden="1" x14ac:dyDescent="0.25">
      <c r="A569" t="s">
        <v>45</v>
      </c>
      <c r="B569" t="s">
        <v>46</v>
      </c>
      <c r="C569" t="s">
        <v>47</v>
      </c>
      <c r="D569" t="s">
        <v>48</v>
      </c>
      <c r="E569">
        <v>2022</v>
      </c>
      <c r="F569" t="s">
        <v>90</v>
      </c>
      <c r="G569" t="s">
        <v>91</v>
      </c>
      <c r="H569" s="1">
        <v>2658.7129000962</v>
      </c>
      <c r="I569">
        <f>_FIIPer1000[[#This Row],[No.Per1000Adults]]-H568</f>
        <v>614.69961020593996</v>
      </c>
      <c r="J569" t="s">
        <v>67</v>
      </c>
      <c r="K569" t="s">
        <v>68</v>
      </c>
    </row>
    <row r="570" spans="1:11" hidden="1" x14ac:dyDescent="0.25">
      <c r="A570" t="s">
        <v>45</v>
      </c>
      <c r="B570" t="s">
        <v>46</v>
      </c>
      <c r="C570" t="s">
        <v>47</v>
      </c>
      <c r="D570" t="s">
        <v>48</v>
      </c>
      <c r="E570">
        <v>2023</v>
      </c>
      <c r="F570" t="s">
        <v>90</v>
      </c>
      <c r="G570" t="s">
        <v>91</v>
      </c>
      <c r="H570" s="1">
        <v>2771.92210691435</v>
      </c>
      <c r="I570">
        <f>_FIIPer1000[[#This Row],[No.Per1000Adults]]-H569</f>
        <v>113.20920681815005</v>
      </c>
      <c r="J570" t="s">
        <v>67</v>
      </c>
      <c r="K570" t="s">
        <v>68</v>
      </c>
    </row>
    <row r="571" spans="1:11" hidden="1" x14ac:dyDescent="0.25">
      <c r="A571" t="s">
        <v>45</v>
      </c>
      <c r="B571" t="s">
        <v>46</v>
      </c>
      <c r="C571" t="s">
        <v>47</v>
      </c>
      <c r="D571" t="s">
        <v>48</v>
      </c>
      <c r="E571">
        <v>2024</v>
      </c>
      <c r="F571" t="s">
        <v>90</v>
      </c>
      <c r="G571" t="s">
        <v>91</v>
      </c>
      <c r="H571" s="1">
        <v>3130.8705342277099</v>
      </c>
      <c r="I571">
        <f>_FIIPer1000[[#This Row],[No.Per1000Adults]]-H570</f>
        <v>358.94842731335984</v>
      </c>
      <c r="J571" t="s">
        <v>67</v>
      </c>
      <c r="K571" t="s">
        <v>68</v>
      </c>
    </row>
    <row r="572" spans="1:11" hidden="1" x14ac:dyDescent="0.25">
      <c r="A572" t="s">
        <v>45</v>
      </c>
      <c r="B572" t="s">
        <v>46</v>
      </c>
      <c r="C572" t="s">
        <v>49</v>
      </c>
      <c r="D572" t="s">
        <v>50</v>
      </c>
      <c r="E572">
        <v>2019</v>
      </c>
      <c r="F572" t="s">
        <v>90</v>
      </c>
      <c r="G572" t="s">
        <v>91</v>
      </c>
      <c r="J572" t="s">
        <v>67</v>
      </c>
      <c r="K572" t="s">
        <v>68</v>
      </c>
    </row>
    <row r="573" spans="1:11" hidden="1" x14ac:dyDescent="0.25">
      <c r="A573" t="s">
        <v>45</v>
      </c>
      <c r="B573" t="s">
        <v>46</v>
      </c>
      <c r="C573" t="s">
        <v>49</v>
      </c>
      <c r="D573" t="s">
        <v>50</v>
      </c>
      <c r="E573">
        <v>2020</v>
      </c>
      <c r="F573" t="s">
        <v>90</v>
      </c>
      <c r="G573" t="s">
        <v>91</v>
      </c>
      <c r="J573" t="s">
        <v>67</v>
      </c>
      <c r="K573" t="s">
        <v>68</v>
      </c>
    </row>
    <row r="574" spans="1:11" hidden="1" x14ac:dyDescent="0.25">
      <c r="A574" t="s">
        <v>45</v>
      </c>
      <c r="B574" t="s">
        <v>46</v>
      </c>
      <c r="C574" t="s">
        <v>49</v>
      </c>
      <c r="D574" t="s">
        <v>50</v>
      </c>
      <c r="E574">
        <v>2021</v>
      </c>
      <c r="F574" t="s">
        <v>90</v>
      </c>
      <c r="G574" t="s">
        <v>91</v>
      </c>
      <c r="J574" t="s">
        <v>67</v>
      </c>
      <c r="K574" t="s">
        <v>68</v>
      </c>
    </row>
    <row r="575" spans="1:11" hidden="1" x14ac:dyDescent="0.25">
      <c r="A575" t="s">
        <v>45</v>
      </c>
      <c r="B575" t="s">
        <v>46</v>
      </c>
      <c r="C575" t="s">
        <v>49</v>
      </c>
      <c r="D575" t="s">
        <v>50</v>
      </c>
      <c r="E575">
        <v>2022</v>
      </c>
      <c r="F575" t="s">
        <v>90</v>
      </c>
      <c r="G575" t="s">
        <v>91</v>
      </c>
      <c r="J575" t="s">
        <v>67</v>
      </c>
      <c r="K575" t="s">
        <v>68</v>
      </c>
    </row>
    <row r="576" spans="1:11" hidden="1" x14ac:dyDescent="0.25">
      <c r="A576" t="s">
        <v>45</v>
      </c>
      <c r="B576" t="s">
        <v>46</v>
      </c>
      <c r="C576" t="s">
        <v>49</v>
      </c>
      <c r="D576" t="s">
        <v>50</v>
      </c>
      <c r="E576">
        <v>2023</v>
      </c>
      <c r="F576" t="s">
        <v>90</v>
      </c>
      <c r="G576" t="s">
        <v>91</v>
      </c>
      <c r="J576" t="s">
        <v>67</v>
      </c>
      <c r="K576" t="s">
        <v>68</v>
      </c>
    </row>
    <row r="577" spans="1:11" hidden="1" x14ac:dyDescent="0.25">
      <c r="A577" t="s">
        <v>45</v>
      </c>
      <c r="B577" t="s">
        <v>46</v>
      </c>
      <c r="C577" t="s">
        <v>49</v>
      </c>
      <c r="D577" t="s">
        <v>50</v>
      </c>
      <c r="E577">
        <v>2024</v>
      </c>
      <c r="F577" t="s">
        <v>90</v>
      </c>
      <c r="G577" t="s">
        <v>91</v>
      </c>
      <c r="J577" t="s">
        <v>67</v>
      </c>
      <c r="K577" t="s">
        <v>68</v>
      </c>
    </row>
    <row r="578" spans="1:11" hidden="1" x14ac:dyDescent="0.25">
      <c r="A578" t="s">
        <v>45</v>
      </c>
      <c r="B578" t="s">
        <v>46</v>
      </c>
      <c r="C578" t="s">
        <v>51</v>
      </c>
      <c r="D578" t="s">
        <v>52</v>
      </c>
      <c r="E578">
        <v>2019</v>
      </c>
      <c r="F578" t="s">
        <v>90</v>
      </c>
      <c r="G578" t="s">
        <v>91</v>
      </c>
      <c r="H578" s="1">
        <v>1183.2390405198801</v>
      </c>
      <c r="J578" t="s">
        <v>67</v>
      </c>
      <c r="K578" t="s">
        <v>68</v>
      </c>
    </row>
    <row r="579" spans="1:11" hidden="1" x14ac:dyDescent="0.25">
      <c r="A579" t="s">
        <v>45</v>
      </c>
      <c r="B579" t="s">
        <v>46</v>
      </c>
      <c r="C579" t="s">
        <v>51</v>
      </c>
      <c r="D579" t="s">
        <v>52</v>
      </c>
      <c r="E579">
        <v>2020</v>
      </c>
      <c r="F579" t="s">
        <v>90</v>
      </c>
      <c r="G579" t="s">
        <v>91</v>
      </c>
      <c r="H579" s="1">
        <v>1195.6337028324299</v>
      </c>
      <c r="I579">
        <f>_FIIPer1000[[#This Row],[No.Per1000Adults]]-H578</f>
        <v>12.394662312549826</v>
      </c>
      <c r="J579" t="s">
        <v>67</v>
      </c>
      <c r="K579" t="s">
        <v>68</v>
      </c>
    </row>
    <row r="580" spans="1:11" hidden="1" x14ac:dyDescent="0.25">
      <c r="A580" t="s">
        <v>45</v>
      </c>
      <c r="B580" t="s">
        <v>46</v>
      </c>
      <c r="C580" t="s">
        <v>51</v>
      </c>
      <c r="D580" t="s">
        <v>52</v>
      </c>
      <c r="E580">
        <v>2021</v>
      </c>
      <c r="F580" t="s">
        <v>90</v>
      </c>
      <c r="G580" t="s">
        <v>91</v>
      </c>
      <c r="H580" s="1">
        <v>1333.3886543086801</v>
      </c>
      <c r="I580">
        <f>_FIIPer1000[[#This Row],[No.Per1000Adults]]-H579</f>
        <v>137.7549514762502</v>
      </c>
      <c r="J580" t="s">
        <v>67</v>
      </c>
      <c r="K580" t="s">
        <v>68</v>
      </c>
    </row>
    <row r="581" spans="1:11" hidden="1" x14ac:dyDescent="0.25">
      <c r="A581" t="s">
        <v>45</v>
      </c>
      <c r="B581" t="s">
        <v>46</v>
      </c>
      <c r="C581" t="s">
        <v>51</v>
      </c>
      <c r="D581" t="s">
        <v>52</v>
      </c>
      <c r="E581">
        <v>2022</v>
      </c>
      <c r="F581" t="s">
        <v>90</v>
      </c>
      <c r="G581" t="s">
        <v>91</v>
      </c>
      <c r="H581" s="1">
        <v>1365.95452044746</v>
      </c>
      <c r="I581">
        <f>_FIIPer1000[[#This Row],[No.Per1000Adults]]-H580</f>
        <v>32.565866138779938</v>
      </c>
      <c r="J581" t="s">
        <v>67</v>
      </c>
      <c r="K581" t="s">
        <v>68</v>
      </c>
    </row>
    <row r="582" spans="1:11" hidden="1" x14ac:dyDescent="0.25">
      <c r="A582" t="s">
        <v>45</v>
      </c>
      <c r="B582" t="s">
        <v>46</v>
      </c>
      <c r="C582" t="s">
        <v>51</v>
      </c>
      <c r="D582" t="s">
        <v>52</v>
      </c>
      <c r="E582">
        <v>2023</v>
      </c>
      <c r="F582" t="s">
        <v>90</v>
      </c>
      <c r="G582" t="s">
        <v>91</v>
      </c>
      <c r="H582" s="2"/>
      <c r="J582" t="s">
        <v>67</v>
      </c>
      <c r="K582" t="s">
        <v>68</v>
      </c>
    </row>
    <row r="583" spans="1:11" hidden="1" x14ac:dyDescent="0.25">
      <c r="A583" t="s">
        <v>45</v>
      </c>
      <c r="B583" t="s">
        <v>46</v>
      </c>
      <c r="C583" t="s">
        <v>51</v>
      </c>
      <c r="D583" t="s">
        <v>52</v>
      </c>
      <c r="E583">
        <v>2024</v>
      </c>
      <c r="F583" t="s">
        <v>90</v>
      </c>
      <c r="G583" t="s">
        <v>91</v>
      </c>
      <c r="H583" s="2"/>
      <c r="J583" t="s">
        <v>67</v>
      </c>
      <c r="K583" t="s">
        <v>68</v>
      </c>
    </row>
    <row r="584" spans="1:11" hidden="1" x14ac:dyDescent="0.25">
      <c r="A584" t="s">
        <v>45</v>
      </c>
      <c r="B584" t="s">
        <v>46</v>
      </c>
      <c r="C584" t="s">
        <v>53</v>
      </c>
      <c r="D584" t="s">
        <v>54</v>
      </c>
      <c r="E584">
        <v>2019</v>
      </c>
      <c r="F584" t="s">
        <v>90</v>
      </c>
      <c r="G584" t="s">
        <v>91</v>
      </c>
      <c r="J584" t="s">
        <v>67</v>
      </c>
      <c r="K584" t="s">
        <v>68</v>
      </c>
    </row>
    <row r="585" spans="1:11" hidden="1" x14ac:dyDescent="0.25">
      <c r="A585" t="s">
        <v>45</v>
      </c>
      <c r="B585" t="s">
        <v>46</v>
      </c>
      <c r="C585" t="s">
        <v>53</v>
      </c>
      <c r="D585" t="s">
        <v>54</v>
      </c>
      <c r="E585">
        <v>2020</v>
      </c>
      <c r="F585" t="s">
        <v>90</v>
      </c>
      <c r="G585" t="s">
        <v>91</v>
      </c>
      <c r="J585" t="s">
        <v>67</v>
      </c>
      <c r="K585" t="s">
        <v>68</v>
      </c>
    </row>
    <row r="586" spans="1:11" hidden="1" x14ac:dyDescent="0.25">
      <c r="A586" t="s">
        <v>45</v>
      </c>
      <c r="B586" t="s">
        <v>46</v>
      </c>
      <c r="C586" t="s">
        <v>53</v>
      </c>
      <c r="D586" t="s">
        <v>54</v>
      </c>
      <c r="E586">
        <v>2021</v>
      </c>
      <c r="F586" t="s">
        <v>90</v>
      </c>
      <c r="G586" t="s">
        <v>91</v>
      </c>
      <c r="J586" t="s">
        <v>67</v>
      </c>
      <c r="K586" t="s">
        <v>68</v>
      </c>
    </row>
    <row r="587" spans="1:11" hidden="1" x14ac:dyDescent="0.25">
      <c r="A587" t="s">
        <v>45</v>
      </c>
      <c r="B587" t="s">
        <v>46</v>
      </c>
      <c r="C587" t="s">
        <v>53</v>
      </c>
      <c r="D587" t="s">
        <v>54</v>
      </c>
      <c r="E587">
        <v>2022</v>
      </c>
      <c r="F587" t="s">
        <v>90</v>
      </c>
      <c r="G587" t="s">
        <v>91</v>
      </c>
      <c r="J587" t="s">
        <v>67</v>
      </c>
      <c r="K587" t="s">
        <v>68</v>
      </c>
    </row>
    <row r="588" spans="1:11" hidden="1" x14ac:dyDescent="0.25">
      <c r="A588" t="s">
        <v>45</v>
      </c>
      <c r="B588" t="s">
        <v>46</v>
      </c>
      <c r="C588" t="s">
        <v>53</v>
      </c>
      <c r="D588" t="s">
        <v>54</v>
      </c>
      <c r="E588">
        <v>2023</v>
      </c>
      <c r="F588" t="s">
        <v>90</v>
      </c>
      <c r="G588" t="s">
        <v>91</v>
      </c>
      <c r="J588" t="s">
        <v>67</v>
      </c>
      <c r="K588" t="s">
        <v>68</v>
      </c>
    </row>
    <row r="589" spans="1:11" hidden="1" x14ac:dyDescent="0.25">
      <c r="A589" t="s">
        <v>45</v>
      </c>
      <c r="B589" t="s">
        <v>46</v>
      </c>
      <c r="C589" t="s">
        <v>53</v>
      </c>
      <c r="D589" t="s">
        <v>54</v>
      </c>
      <c r="E589">
        <v>2024</v>
      </c>
      <c r="F589" t="s">
        <v>90</v>
      </c>
      <c r="G589" t="s">
        <v>91</v>
      </c>
      <c r="J589" t="s">
        <v>67</v>
      </c>
      <c r="K589" t="s">
        <v>68</v>
      </c>
    </row>
    <row r="590" spans="1:11" hidden="1" x14ac:dyDescent="0.25">
      <c r="A590" t="s">
        <v>45</v>
      </c>
      <c r="B590" t="s">
        <v>46</v>
      </c>
      <c r="C590" t="s">
        <v>7</v>
      </c>
      <c r="D590" t="s">
        <v>8</v>
      </c>
      <c r="E590">
        <v>2019</v>
      </c>
      <c r="F590" t="s">
        <v>90</v>
      </c>
      <c r="G590" t="s">
        <v>91</v>
      </c>
      <c r="H590" s="3">
        <v>1520.0813419404201</v>
      </c>
      <c r="J590" t="s">
        <v>67</v>
      </c>
      <c r="K590" t="s">
        <v>68</v>
      </c>
    </row>
    <row r="591" spans="1:11" hidden="1" x14ac:dyDescent="0.25">
      <c r="A591" t="s">
        <v>45</v>
      </c>
      <c r="B591" t="s">
        <v>46</v>
      </c>
      <c r="C591" t="s">
        <v>7</v>
      </c>
      <c r="D591" t="s">
        <v>8</v>
      </c>
      <c r="E591">
        <v>2020</v>
      </c>
      <c r="F591" t="s">
        <v>90</v>
      </c>
      <c r="G591" t="s">
        <v>91</v>
      </c>
      <c r="H591" s="3">
        <v>1591.7930553972201</v>
      </c>
      <c r="I591">
        <f>_FIIPer1000[[#This Row],[No.Per1000Adults]]-H590</f>
        <v>71.711713456799998</v>
      </c>
      <c r="J591" t="s">
        <v>67</v>
      </c>
      <c r="K591" t="s">
        <v>68</v>
      </c>
    </row>
    <row r="592" spans="1:11" hidden="1" x14ac:dyDescent="0.25">
      <c r="A592" t="s">
        <v>45</v>
      </c>
      <c r="B592" t="s">
        <v>46</v>
      </c>
      <c r="C592" t="s">
        <v>7</v>
      </c>
      <c r="D592" t="s">
        <v>8</v>
      </c>
      <c r="E592">
        <v>2021</v>
      </c>
      <c r="F592" t="s">
        <v>90</v>
      </c>
      <c r="G592" t="s">
        <v>91</v>
      </c>
      <c r="H592" s="3">
        <v>1939.03053422317</v>
      </c>
      <c r="I592">
        <f>_FIIPer1000[[#This Row],[No.Per1000Adults]]-H591</f>
        <v>347.23747882594989</v>
      </c>
      <c r="J592" t="s">
        <v>67</v>
      </c>
      <c r="K592" t="s">
        <v>68</v>
      </c>
    </row>
    <row r="593" spans="1:11" hidden="1" x14ac:dyDescent="0.25">
      <c r="A593" t="s">
        <v>45</v>
      </c>
      <c r="B593" t="s">
        <v>46</v>
      </c>
      <c r="C593" t="s">
        <v>7</v>
      </c>
      <c r="D593" t="s">
        <v>8</v>
      </c>
      <c r="E593">
        <v>2022</v>
      </c>
      <c r="F593" t="s">
        <v>90</v>
      </c>
      <c r="G593" t="s">
        <v>91</v>
      </c>
      <c r="H593" s="3">
        <v>2118.6555588697602</v>
      </c>
      <c r="I593">
        <f>_FIIPer1000[[#This Row],[No.Per1000Adults]]-H592</f>
        <v>179.62502464659019</v>
      </c>
      <c r="J593" t="s">
        <v>67</v>
      </c>
      <c r="K593" t="s">
        <v>68</v>
      </c>
    </row>
    <row r="594" spans="1:11" hidden="1" x14ac:dyDescent="0.25">
      <c r="A594" t="s">
        <v>45</v>
      </c>
      <c r="B594" t="s">
        <v>46</v>
      </c>
      <c r="C594" t="s">
        <v>7</v>
      </c>
      <c r="D594" t="s">
        <v>8</v>
      </c>
      <c r="E594">
        <v>2023</v>
      </c>
      <c r="F594" t="s">
        <v>90</v>
      </c>
      <c r="G594" t="s">
        <v>91</v>
      </c>
      <c r="H594" s="3">
        <v>2272.2357512357798</v>
      </c>
      <c r="I594">
        <f>_FIIPer1000[[#This Row],[No.Per1000Adults]]-H593</f>
        <v>153.58019236601967</v>
      </c>
      <c r="J594" t="s">
        <v>67</v>
      </c>
      <c r="K594" t="s">
        <v>68</v>
      </c>
    </row>
    <row r="595" spans="1:11" hidden="1" x14ac:dyDescent="0.25">
      <c r="A595" t="s">
        <v>45</v>
      </c>
      <c r="B595" t="s">
        <v>46</v>
      </c>
      <c r="C595" t="s">
        <v>7</v>
      </c>
      <c r="D595" t="s">
        <v>8</v>
      </c>
      <c r="E595">
        <v>2024</v>
      </c>
      <c r="F595" t="s">
        <v>90</v>
      </c>
      <c r="G595" t="s">
        <v>91</v>
      </c>
      <c r="H595" s="3">
        <v>2573.0115816993198</v>
      </c>
      <c r="I595">
        <f>_FIIPer1000[[#This Row],[No.Per1000Adults]]-H594</f>
        <v>300.77583046353993</v>
      </c>
      <c r="J595" t="s">
        <v>67</v>
      </c>
      <c r="K595" t="s">
        <v>68</v>
      </c>
    </row>
    <row r="596" spans="1:11" hidden="1" x14ac:dyDescent="0.25">
      <c r="A596" t="s">
        <v>45</v>
      </c>
      <c r="B596" t="s">
        <v>46</v>
      </c>
      <c r="C596" t="s">
        <v>55</v>
      </c>
      <c r="D596" t="s">
        <v>56</v>
      </c>
      <c r="E596">
        <v>2019</v>
      </c>
      <c r="F596" t="s">
        <v>90</v>
      </c>
      <c r="G596" t="s">
        <v>91</v>
      </c>
      <c r="H596" s="1">
        <v>1387.39804836127</v>
      </c>
      <c r="J596" t="s">
        <v>67</v>
      </c>
      <c r="K596" t="s">
        <v>68</v>
      </c>
    </row>
    <row r="597" spans="1:11" hidden="1" x14ac:dyDescent="0.25">
      <c r="A597" t="s">
        <v>45</v>
      </c>
      <c r="B597" t="s">
        <v>46</v>
      </c>
      <c r="C597" t="s">
        <v>55</v>
      </c>
      <c r="D597" t="s">
        <v>56</v>
      </c>
      <c r="E597">
        <v>2020</v>
      </c>
      <c r="F597" t="s">
        <v>90</v>
      </c>
      <c r="G597" t="s">
        <v>91</v>
      </c>
      <c r="H597" s="1">
        <v>1540.7043425987599</v>
      </c>
      <c r="I597">
        <f>_FIIPer1000[[#This Row],[No.Per1000Adults]]-H596</f>
        <v>153.30629423748996</v>
      </c>
      <c r="J597" t="s">
        <v>67</v>
      </c>
      <c r="K597" t="s">
        <v>68</v>
      </c>
    </row>
    <row r="598" spans="1:11" hidden="1" x14ac:dyDescent="0.25">
      <c r="A598" t="s">
        <v>45</v>
      </c>
      <c r="B598" t="s">
        <v>46</v>
      </c>
      <c r="C598" t="s">
        <v>55</v>
      </c>
      <c r="D598" t="s">
        <v>56</v>
      </c>
      <c r="E598">
        <v>2021</v>
      </c>
      <c r="F598" t="s">
        <v>90</v>
      </c>
      <c r="G598" t="s">
        <v>91</v>
      </c>
      <c r="H598" s="1">
        <v>1416.1145096816599</v>
      </c>
      <c r="I598">
        <f>_FIIPer1000[[#This Row],[No.Per1000Adults]]-H597</f>
        <v>-124.58983291710001</v>
      </c>
      <c r="J598" t="s">
        <v>67</v>
      </c>
      <c r="K598" t="s">
        <v>68</v>
      </c>
    </row>
    <row r="599" spans="1:11" hidden="1" x14ac:dyDescent="0.25">
      <c r="A599" t="s">
        <v>45</v>
      </c>
      <c r="B599" t="s">
        <v>46</v>
      </c>
      <c r="C599" t="s">
        <v>55</v>
      </c>
      <c r="D599" t="s">
        <v>56</v>
      </c>
      <c r="E599">
        <v>2022</v>
      </c>
      <c r="F599" t="s">
        <v>90</v>
      </c>
      <c r="G599" t="s">
        <v>91</v>
      </c>
      <c r="H599" s="1">
        <v>1471.79212738155</v>
      </c>
      <c r="I599">
        <f>_FIIPer1000[[#This Row],[No.Per1000Adults]]-H598</f>
        <v>55.677617699890106</v>
      </c>
      <c r="J599" t="s">
        <v>67</v>
      </c>
      <c r="K599" t="s">
        <v>68</v>
      </c>
    </row>
    <row r="600" spans="1:11" hidden="1" x14ac:dyDescent="0.25">
      <c r="A600" t="s">
        <v>45</v>
      </c>
      <c r="B600" t="s">
        <v>46</v>
      </c>
      <c r="C600" t="s">
        <v>55</v>
      </c>
      <c r="D600" t="s">
        <v>56</v>
      </c>
      <c r="E600">
        <v>2023</v>
      </c>
      <c r="F600" t="s">
        <v>90</v>
      </c>
      <c r="G600" t="s">
        <v>91</v>
      </c>
      <c r="H600" s="1">
        <v>1577.8855496144499</v>
      </c>
      <c r="I600">
        <f>_FIIPer1000[[#This Row],[No.Per1000Adults]]-H599</f>
        <v>106.09342223289991</v>
      </c>
      <c r="J600" t="s">
        <v>67</v>
      </c>
      <c r="K600" t="s">
        <v>68</v>
      </c>
    </row>
    <row r="601" spans="1:11" hidden="1" x14ac:dyDescent="0.25">
      <c r="A601" t="s">
        <v>45</v>
      </c>
      <c r="B601" t="s">
        <v>46</v>
      </c>
      <c r="C601" t="s">
        <v>55</v>
      </c>
      <c r="D601" t="s">
        <v>56</v>
      </c>
      <c r="E601">
        <v>2024</v>
      </c>
      <c r="F601" t="s">
        <v>90</v>
      </c>
      <c r="G601" t="s">
        <v>91</v>
      </c>
      <c r="H601" s="2"/>
      <c r="J601" t="s">
        <v>67</v>
      </c>
      <c r="K601" t="s">
        <v>68</v>
      </c>
    </row>
    <row r="602" spans="1:11" x14ac:dyDescent="0.25">
      <c r="A602" t="s">
        <v>5</v>
      </c>
      <c r="B602" t="s">
        <v>6</v>
      </c>
      <c r="C602" t="s">
        <v>9</v>
      </c>
      <c r="D602" t="s">
        <v>10</v>
      </c>
      <c r="E602">
        <v>2019</v>
      </c>
      <c r="F602" t="s">
        <v>92</v>
      </c>
      <c r="G602" t="s">
        <v>93</v>
      </c>
      <c r="H602" s="1">
        <v>4292.6428576450398</v>
      </c>
      <c r="J602" t="s">
        <v>67</v>
      </c>
      <c r="K602" t="s">
        <v>68</v>
      </c>
    </row>
    <row r="603" spans="1:11" x14ac:dyDescent="0.25">
      <c r="A603" t="s">
        <v>5</v>
      </c>
      <c r="B603" t="s">
        <v>6</v>
      </c>
      <c r="C603" t="s">
        <v>9</v>
      </c>
      <c r="D603" t="s">
        <v>10</v>
      </c>
      <c r="E603">
        <v>2020</v>
      </c>
      <c r="F603" t="s">
        <v>92</v>
      </c>
      <c r="G603" t="s">
        <v>93</v>
      </c>
      <c r="H603" s="1">
        <v>8482.6871388682903</v>
      </c>
      <c r="I603">
        <f>_FIIPer1000[[#This Row],[No.Per1000Adults]]-H602</f>
        <v>4190.0442812232504</v>
      </c>
      <c r="J603" t="s">
        <v>67</v>
      </c>
      <c r="K603" t="s">
        <v>68</v>
      </c>
    </row>
    <row r="604" spans="1:11" x14ac:dyDescent="0.25">
      <c r="A604" t="s">
        <v>5</v>
      </c>
      <c r="B604" t="s">
        <v>6</v>
      </c>
      <c r="C604" t="s">
        <v>9</v>
      </c>
      <c r="D604" t="s">
        <v>10</v>
      </c>
      <c r="E604">
        <v>2021</v>
      </c>
      <c r="F604" t="s">
        <v>92</v>
      </c>
      <c r="G604" t="s">
        <v>93</v>
      </c>
      <c r="H604" s="1">
        <v>12985.119202665101</v>
      </c>
      <c r="I604">
        <f>_FIIPer1000[[#This Row],[No.Per1000Adults]]-H603</f>
        <v>4502.4320637968103</v>
      </c>
      <c r="J604" t="s">
        <v>67</v>
      </c>
      <c r="K604" t="s">
        <v>68</v>
      </c>
    </row>
    <row r="605" spans="1:11" x14ac:dyDescent="0.25">
      <c r="A605" t="s">
        <v>5</v>
      </c>
      <c r="B605" t="s">
        <v>6</v>
      </c>
      <c r="C605" t="s">
        <v>9</v>
      </c>
      <c r="D605" t="s">
        <v>10</v>
      </c>
      <c r="E605">
        <v>2022</v>
      </c>
      <c r="F605" t="s">
        <v>92</v>
      </c>
      <c r="G605" t="s">
        <v>93</v>
      </c>
      <c r="H605" s="1">
        <v>20543.5896547017</v>
      </c>
      <c r="I605">
        <f>_FIIPer1000[[#This Row],[No.Per1000Adults]]-H604</f>
        <v>7558.4704520365995</v>
      </c>
      <c r="J605" t="s">
        <v>67</v>
      </c>
      <c r="K605" t="s">
        <v>68</v>
      </c>
    </row>
    <row r="606" spans="1:11" x14ac:dyDescent="0.25">
      <c r="A606" t="s">
        <v>5</v>
      </c>
      <c r="B606" t="s">
        <v>6</v>
      </c>
      <c r="C606" t="s">
        <v>9</v>
      </c>
      <c r="D606" t="s">
        <v>10</v>
      </c>
      <c r="E606">
        <v>2023</v>
      </c>
      <c r="F606" t="s">
        <v>92</v>
      </c>
      <c r="G606" t="s">
        <v>93</v>
      </c>
      <c r="H606" s="1">
        <v>32909.791886305698</v>
      </c>
      <c r="I606">
        <f>_FIIPer1000[[#This Row],[No.Per1000Adults]]-H605</f>
        <v>12366.202231603998</v>
      </c>
      <c r="J606" t="s">
        <v>67</v>
      </c>
      <c r="K606" t="s">
        <v>68</v>
      </c>
    </row>
    <row r="607" spans="1:11" x14ac:dyDescent="0.25">
      <c r="A607" t="s">
        <v>5</v>
      </c>
      <c r="B607" t="s">
        <v>6</v>
      </c>
      <c r="C607" t="s">
        <v>9</v>
      </c>
      <c r="D607" t="s">
        <v>10</v>
      </c>
      <c r="E607">
        <v>2024</v>
      </c>
      <c r="F607" t="s">
        <v>92</v>
      </c>
      <c r="G607" t="s">
        <v>93</v>
      </c>
      <c r="H607" s="1">
        <v>58005.734621170603</v>
      </c>
      <c r="I607">
        <f>_FIIPer1000[[#This Row],[No.Per1000Adults]]-H606</f>
        <v>25095.942734864904</v>
      </c>
      <c r="J607" t="s">
        <v>67</v>
      </c>
      <c r="K607" t="s">
        <v>68</v>
      </c>
    </row>
    <row r="608" spans="1:11" x14ac:dyDescent="0.25">
      <c r="A608" t="s">
        <v>5</v>
      </c>
      <c r="B608" t="s">
        <v>6</v>
      </c>
      <c r="C608" t="s">
        <v>11</v>
      </c>
      <c r="D608" t="s">
        <v>12</v>
      </c>
      <c r="E608">
        <v>2019</v>
      </c>
      <c r="F608" t="s">
        <v>92</v>
      </c>
      <c r="G608" t="s">
        <v>93</v>
      </c>
      <c r="J608" t="s">
        <v>67</v>
      </c>
      <c r="K608" t="s">
        <v>68</v>
      </c>
    </row>
    <row r="609" spans="1:11" x14ac:dyDescent="0.25">
      <c r="A609" t="s">
        <v>5</v>
      </c>
      <c r="B609" t="s">
        <v>6</v>
      </c>
      <c r="C609" t="s">
        <v>11</v>
      </c>
      <c r="D609" t="s">
        <v>12</v>
      </c>
      <c r="E609">
        <v>2020</v>
      </c>
      <c r="F609" t="s">
        <v>92</v>
      </c>
      <c r="G609" t="s">
        <v>93</v>
      </c>
      <c r="J609" t="s">
        <v>67</v>
      </c>
      <c r="K609" t="s">
        <v>68</v>
      </c>
    </row>
    <row r="610" spans="1:11" x14ac:dyDescent="0.25">
      <c r="A610" t="s">
        <v>5</v>
      </c>
      <c r="B610" t="s">
        <v>6</v>
      </c>
      <c r="C610" t="s">
        <v>11</v>
      </c>
      <c r="D610" t="s">
        <v>12</v>
      </c>
      <c r="E610">
        <v>2021</v>
      </c>
      <c r="F610" t="s">
        <v>92</v>
      </c>
      <c r="G610" t="s">
        <v>93</v>
      </c>
      <c r="J610" t="s">
        <v>67</v>
      </c>
      <c r="K610" t="s">
        <v>68</v>
      </c>
    </row>
    <row r="611" spans="1:11" x14ac:dyDescent="0.25">
      <c r="A611" t="s">
        <v>5</v>
      </c>
      <c r="B611" t="s">
        <v>6</v>
      </c>
      <c r="C611" t="s">
        <v>11</v>
      </c>
      <c r="D611" t="s">
        <v>12</v>
      </c>
      <c r="E611">
        <v>2022</v>
      </c>
      <c r="F611" t="s">
        <v>92</v>
      </c>
      <c r="G611" t="s">
        <v>93</v>
      </c>
      <c r="J611" t="s">
        <v>67</v>
      </c>
      <c r="K611" t="s">
        <v>68</v>
      </c>
    </row>
    <row r="612" spans="1:11" x14ac:dyDescent="0.25">
      <c r="A612" t="s">
        <v>5</v>
      </c>
      <c r="B612" t="s">
        <v>6</v>
      </c>
      <c r="C612" t="s">
        <v>11</v>
      </c>
      <c r="D612" t="s">
        <v>12</v>
      </c>
      <c r="E612">
        <v>2023</v>
      </c>
      <c r="F612" t="s">
        <v>92</v>
      </c>
      <c r="G612" t="s">
        <v>93</v>
      </c>
      <c r="J612" t="s">
        <v>67</v>
      </c>
      <c r="K612" t="s">
        <v>68</v>
      </c>
    </row>
    <row r="613" spans="1:11" x14ac:dyDescent="0.25">
      <c r="A613" t="s">
        <v>5</v>
      </c>
      <c r="B613" t="s">
        <v>6</v>
      </c>
      <c r="C613" t="s">
        <v>11</v>
      </c>
      <c r="D613" t="s">
        <v>12</v>
      </c>
      <c r="E613">
        <v>2024</v>
      </c>
      <c r="F613" t="s">
        <v>92</v>
      </c>
      <c r="G613" t="s">
        <v>93</v>
      </c>
      <c r="J613" t="s">
        <v>67</v>
      </c>
      <c r="K613" t="s">
        <v>68</v>
      </c>
    </row>
    <row r="614" spans="1:11" x14ac:dyDescent="0.25">
      <c r="A614" t="s">
        <v>5</v>
      </c>
      <c r="B614" t="s">
        <v>6</v>
      </c>
      <c r="C614" t="s">
        <v>13</v>
      </c>
      <c r="D614" t="s">
        <v>14</v>
      </c>
      <c r="E614">
        <v>2019</v>
      </c>
      <c r="F614" t="s">
        <v>92</v>
      </c>
      <c r="G614" t="s">
        <v>93</v>
      </c>
      <c r="H614" s="1">
        <v>331733.09929046902</v>
      </c>
      <c r="J614" t="s">
        <v>67</v>
      </c>
      <c r="K614" t="s">
        <v>68</v>
      </c>
    </row>
    <row r="615" spans="1:11" x14ac:dyDescent="0.25">
      <c r="A615" t="s">
        <v>5</v>
      </c>
      <c r="B615" t="s">
        <v>6</v>
      </c>
      <c r="C615" t="s">
        <v>13</v>
      </c>
      <c r="D615" t="s">
        <v>14</v>
      </c>
      <c r="E615">
        <v>2020</v>
      </c>
      <c r="F615" t="s">
        <v>92</v>
      </c>
      <c r="G615" t="s">
        <v>93</v>
      </c>
      <c r="H615" s="1">
        <v>388694.346209571</v>
      </c>
      <c r="I615">
        <f>_FIIPer1000[[#This Row],[No.Per1000Adults]]-H614</f>
        <v>56961.246919101977</v>
      </c>
      <c r="J615" t="s">
        <v>67</v>
      </c>
      <c r="K615" t="s">
        <v>68</v>
      </c>
    </row>
    <row r="616" spans="1:11" x14ac:dyDescent="0.25">
      <c r="A616" t="s">
        <v>5</v>
      </c>
      <c r="B616" t="s">
        <v>6</v>
      </c>
      <c r="C616" t="s">
        <v>13</v>
      </c>
      <c r="D616" t="s">
        <v>14</v>
      </c>
      <c r="E616">
        <v>2021</v>
      </c>
      <c r="F616" t="s">
        <v>92</v>
      </c>
      <c r="G616" t="s">
        <v>93</v>
      </c>
      <c r="H616" s="1">
        <v>527936.21215824701</v>
      </c>
      <c r="I616">
        <f>_FIIPer1000[[#This Row],[No.Per1000Adults]]-H615</f>
        <v>139241.86594867602</v>
      </c>
      <c r="J616" t="s">
        <v>67</v>
      </c>
      <c r="K616" t="s">
        <v>68</v>
      </c>
    </row>
    <row r="617" spans="1:11" x14ac:dyDescent="0.25">
      <c r="A617" t="s">
        <v>5</v>
      </c>
      <c r="B617" t="s">
        <v>6</v>
      </c>
      <c r="C617" t="s">
        <v>13</v>
      </c>
      <c r="D617" t="s">
        <v>14</v>
      </c>
      <c r="E617">
        <v>2022</v>
      </c>
      <c r="F617" t="s">
        <v>92</v>
      </c>
      <c r="G617" t="s">
        <v>93</v>
      </c>
      <c r="H617" s="1">
        <v>657969.77471817995</v>
      </c>
      <c r="I617">
        <f>_FIIPer1000[[#This Row],[No.Per1000Adults]]-H616</f>
        <v>130033.56255993294</v>
      </c>
      <c r="J617" t="s">
        <v>67</v>
      </c>
      <c r="K617" t="s">
        <v>68</v>
      </c>
    </row>
    <row r="618" spans="1:11" x14ac:dyDescent="0.25">
      <c r="A618" t="s">
        <v>5</v>
      </c>
      <c r="B618" t="s">
        <v>6</v>
      </c>
      <c r="C618" t="s">
        <v>13</v>
      </c>
      <c r="D618" t="s">
        <v>14</v>
      </c>
      <c r="E618">
        <v>2023</v>
      </c>
      <c r="F618" t="s">
        <v>92</v>
      </c>
      <c r="G618" t="s">
        <v>93</v>
      </c>
      <c r="H618" s="1">
        <v>726579.80246037804</v>
      </c>
      <c r="I618">
        <f>_FIIPer1000[[#This Row],[No.Per1000Adults]]-H617</f>
        <v>68610.027742198086</v>
      </c>
      <c r="J618" t="s">
        <v>67</v>
      </c>
      <c r="K618" t="s">
        <v>68</v>
      </c>
    </row>
    <row r="619" spans="1:11" x14ac:dyDescent="0.25">
      <c r="A619" t="s">
        <v>5</v>
      </c>
      <c r="B619" t="s">
        <v>6</v>
      </c>
      <c r="C619" t="s">
        <v>13</v>
      </c>
      <c r="D619" t="s">
        <v>14</v>
      </c>
      <c r="E619">
        <v>2024</v>
      </c>
      <c r="F619" t="s">
        <v>92</v>
      </c>
      <c r="G619" t="s">
        <v>93</v>
      </c>
      <c r="H619" s="1">
        <v>833067.22217657894</v>
      </c>
      <c r="I619">
        <f>_FIIPer1000[[#This Row],[No.Per1000Adults]]-H618</f>
        <v>106487.41971620091</v>
      </c>
      <c r="J619" t="s">
        <v>67</v>
      </c>
      <c r="K619" t="s">
        <v>68</v>
      </c>
    </row>
    <row r="620" spans="1:11" x14ac:dyDescent="0.25">
      <c r="A620" t="s">
        <v>5</v>
      </c>
      <c r="B620" t="s">
        <v>6</v>
      </c>
      <c r="C620" t="s">
        <v>15</v>
      </c>
      <c r="D620" t="s">
        <v>16</v>
      </c>
      <c r="E620">
        <v>2019</v>
      </c>
      <c r="F620" t="s">
        <v>92</v>
      </c>
      <c r="G620" t="s">
        <v>93</v>
      </c>
      <c r="J620" t="s">
        <v>67</v>
      </c>
      <c r="K620" t="s">
        <v>68</v>
      </c>
    </row>
    <row r="621" spans="1:11" x14ac:dyDescent="0.25">
      <c r="A621" t="s">
        <v>5</v>
      </c>
      <c r="B621" t="s">
        <v>6</v>
      </c>
      <c r="C621" t="s">
        <v>15</v>
      </c>
      <c r="D621" t="s">
        <v>16</v>
      </c>
      <c r="E621">
        <v>2020</v>
      </c>
      <c r="F621" t="s">
        <v>92</v>
      </c>
      <c r="G621" t="s">
        <v>93</v>
      </c>
      <c r="J621" t="s">
        <v>67</v>
      </c>
      <c r="K621" t="s">
        <v>68</v>
      </c>
    </row>
    <row r="622" spans="1:11" x14ac:dyDescent="0.25">
      <c r="A622" t="s">
        <v>5</v>
      </c>
      <c r="B622" t="s">
        <v>6</v>
      </c>
      <c r="C622" t="s">
        <v>15</v>
      </c>
      <c r="D622" t="s">
        <v>16</v>
      </c>
      <c r="E622">
        <v>2021</v>
      </c>
      <c r="F622" t="s">
        <v>92</v>
      </c>
      <c r="G622" t="s">
        <v>93</v>
      </c>
      <c r="J622" t="s">
        <v>67</v>
      </c>
      <c r="K622" t="s">
        <v>68</v>
      </c>
    </row>
    <row r="623" spans="1:11" x14ac:dyDescent="0.25">
      <c r="A623" t="s">
        <v>5</v>
      </c>
      <c r="B623" t="s">
        <v>6</v>
      </c>
      <c r="C623" t="s">
        <v>15</v>
      </c>
      <c r="D623" t="s">
        <v>16</v>
      </c>
      <c r="E623">
        <v>2022</v>
      </c>
      <c r="F623" t="s">
        <v>92</v>
      </c>
      <c r="G623" t="s">
        <v>93</v>
      </c>
      <c r="J623" t="s">
        <v>67</v>
      </c>
      <c r="K623" t="s">
        <v>68</v>
      </c>
    </row>
    <row r="624" spans="1:11" x14ac:dyDescent="0.25">
      <c r="A624" t="s">
        <v>5</v>
      </c>
      <c r="B624" t="s">
        <v>6</v>
      </c>
      <c r="C624" t="s">
        <v>15</v>
      </c>
      <c r="D624" t="s">
        <v>16</v>
      </c>
      <c r="E624">
        <v>2023</v>
      </c>
      <c r="F624" t="s">
        <v>92</v>
      </c>
      <c r="G624" t="s">
        <v>93</v>
      </c>
      <c r="J624" t="s">
        <v>67</v>
      </c>
      <c r="K624" t="s">
        <v>68</v>
      </c>
    </row>
    <row r="625" spans="1:11" x14ac:dyDescent="0.25">
      <c r="A625" t="s">
        <v>5</v>
      </c>
      <c r="B625" t="s">
        <v>6</v>
      </c>
      <c r="C625" t="s">
        <v>15</v>
      </c>
      <c r="D625" t="s">
        <v>16</v>
      </c>
      <c r="E625">
        <v>2024</v>
      </c>
      <c r="F625" t="s">
        <v>92</v>
      </c>
      <c r="G625" t="s">
        <v>93</v>
      </c>
      <c r="J625" t="s">
        <v>67</v>
      </c>
      <c r="K625" t="s">
        <v>68</v>
      </c>
    </row>
    <row r="626" spans="1:11" x14ac:dyDescent="0.25">
      <c r="A626" t="s">
        <v>5</v>
      </c>
      <c r="B626" t="s">
        <v>6</v>
      </c>
      <c r="C626" t="s">
        <v>17</v>
      </c>
      <c r="D626" t="s">
        <v>18</v>
      </c>
      <c r="E626">
        <v>2019</v>
      </c>
      <c r="F626" t="s">
        <v>92</v>
      </c>
      <c r="G626" t="s">
        <v>93</v>
      </c>
      <c r="J626" t="s">
        <v>67</v>
      </c>
      <c r="K626" t="s">
        <v>68</v>
      </c>
    </row>
    <row r="627" spans="1:11" x14ac:dyDescent="0.25">
      <c r="A627" t="s">
        <v>5</v>
      </c>
      <c r="B627" t="s">
        <v>6</v>
      </c>
      <c r="C627" t="s">
        <v>17</v>
      </c>
      <c r="D627" t="s">
        <v>18</v>
      </c>
      <c r="E627">
        <v>2020</v>
      </c>
      <c r="F627" t="s">
        <v>92</v>
      </c>
      <c r="G627" t="s">
        <v>93</v>
      </c>
      <c r="J627" t="s">
        <v>67</v>
      </c>
      <c r="K627" t="s">
        <v>68</v>
      </c>
    </row>
    <row r="628" spans="1:11" x14ac:dyDescent="0.25">
      <c r="A628" t="s">
        <v>5</v>
      </c>
      <c r="B628" t="s">
        <v>6</v>
      </c>
      <c r="C628" t="s">
        <v>17</v>
      </c>
      <c r="D628" t="s">
        <v>18</v>
      </c>
      <c r="E628">
        <v>2021</v>
      </c>
      <c r="F628" t="s">
        <v>92</v>
      </c>
      <c r="G628" t="s">
        <v>93</v>
      </c>
      <c r="J628" t="s">
        <v>67</v>
      </c>
      <c r="K628" t="s">
        <v>68</v>
      </c>
    </row>
    <row r="629" spans="1:11" x14ac:dyDescent="0.25">
      <c r="A629" t="s">
        <v>5</v>
      </c>
      <c r="B629" t="s">
        <v>6</v>
      </c>
      <c r="C629" t="s">
        <v>17</v>
      </c>
      <c r="D629" t="s">
        <v>18</v>
      </c>
      <c r="E629">
        <v>2022</v>
      </c>
      <c r="F629" t="s">
        <v>92</v>
      </c>
      <c r="G629" t="s">
        <v>93</v>
      </c>
      <c r="J629" t="s">
        <v>67</v>
      </c>
      <c r="K629" t="s">
        <v>68</v>
      </c>
    </row>
    <row r="630" spans="1:11" x14ac:dyDescent="0.25">
      <c r="A630" t="s">
        <v>5</v>
      </c>
      <c r="B630" t="s">
        <v>6</v>
      </c>
      <c r="C630" t="s">
        <v>17</v>
      </c>
      <c r="D630" t="s">
        <v>18</v>
      </c>
      <c r="E630">
        <v>2023</v>
      </c>
      <c r="F630" t="s">
        <v>92</v>
      </c>
      <c r="G630" t="s">
        <v>93</v>
      </c>
      <c r="J630" t="s">
        <v>67</v>
      </c>
      <c r="K630" t="s">
        <v>68</v>
      </c>
    </row>
    <row r="631" spans="1:11" x14ac:dyDescent="0.25">
      <c r="A631" t="s">
        <v>5</v>
      </c>
      <c r="B631" t="s">
        <v>6</v>
      </c>
      <c r="C631" t="s">
        <v>17</v>
      </c>
      <c r="D631" t="s">
        <v>18</v>
      </c>
      <c r="E631">
        <v>2024</v>
      </c>
      <c r="F631" t="s">
        <v>92</v>
      </c>
      <c r="G631" t="s">
        <v>93</v>
      </c>
      <c r="J631" t="s">
        <v>67</v>
      </c>
      <c r="K631" t="s">
        <v>68</v>
      </c>
    </row>
    <row r="632" spans="1:11" x14ac:dyDescent="0.25">
      <c r="A632" t="s">
        <v>5</v>
      </c>
      <c r="B632" t="s">
        <v>6</v>
      </c>
      <c r="C632" t="s">
        <v>19</v>
      </c>
      <c r="D632" t="s">
        <v>20</v>
      </c>
      <c r="E632">
        <v>2019</v>
      </c>
      <c r="F632" t="s">
        <v>92</v>
      </c>
      <c r="G632" t="s">
        <v>93</v>
      </c>
      <c r="H632" s="1">
        <v>28820.038457459301</v>
      </c>
      <c r="J632" t="s">
        <v>67</v>
      </c>
      <c r="K632" t="s">
        <v>68</v>
      </c>
    </row>
    <row r="633" spans="1:11" x14ac:dyDescent="0.25">
      <c r="A633" t="s">
        <v>5</v>
      </c>
      <c r="B633" t="s">
        <v>6</v>
      </c>
      <c r="C633" t="s">
        <v>19</v>
      </c>
      <c r="D633" t="s">
        <v>20</v>
      </c>
      <c r="E633">
        <v>2020</v>
      </c>
      <c r="F633" t="s">
        <v>92</v>
      </c>
      <c r="G633" t="s">
        <v>93</v>
      </c>
      <c r="H633" s="1">
        <v>32251.1010525899</v>
      </c>
      <c r="I633">
        <f>_FIIPer1000[[#This Row],[No.Per1000Adults]]-H632</f>
        <v>3431.0625951305992</v>
      </c>
      <c r="J633" t="s">
        <v>67</v>
      </c>
      <c r="K633" t="s">
        <v>68</v>
      </c>
    </row>
    <row r="634" spans="1:11" x14ac:dyDescent="0.25">
      <c r="A634" t="s">
        <v>5</v>
      </c>
      <c r="B634" t="s">
        <v>6</v>
      </c>
      <c r="C634" t="s">
        <v>19</v>
      </c>
      <c r="D634" t="s">
        <v>20</v>
      </c>
      <c r="E634">
        <v>2021</v>
      </c>
      <c r="F634" t="s">
        <v>92</v>
      </c>
      <c r="G634" t="s">
        <v>93</v>
      </c>
      <c r="H634" s="1">
        <v>35623.207351147998</v>
      </c>
      <c r="I634">
        <f>_FIIPer1000[[#This Row],[No.Per1000Adults]]-H633</f>
        <v>3372.1062985580975</v>
      </c>
      <c r="J634" t="s">
        <v>67</v>
      </c>
      <c r="K634" t="s">
        <v>68</v>
      </c>
    </row>
    <row r="635" spans="1:11" x14ac:dyDescent="0.25">
      <c r="A635" t="s">
        <v>5</v>
      </c>
      <c r="B635" t="s">
        <v>6</v>
      </c>
      <c r="C635" t="s">
        <v>19</v>
      </c>
      <c r="D635" t="s">
        <v>20</v>
      </c>
      <c r="E635">
        <v>2022</v>
      </c>
      <c r="F635" t="s">
        <v>92</v>
      </c>
      <c r="G635" t="s">
        <v>93</v>
      </c>
      <c r="H635" s="1">
        <v>35415.417535377303</v>
      </c>
      <c r="I635">
        <f>_FIIPer1000[[#This Row],[No.Per1000Adults]]-H634</f>
        <v>-207.78981577069499</v>
      </c>
      <c r="J635" t="s">
        <v>67</v>
      </c>
      <c r="K635" t="s">
        <v>68</v>
      </c>
    </row>
    <row r="636" spans="1:11" x14ac:dyDescent="0.25">
      <c r="A636" t="s">
        <v>5</v>
      </c>
      <c r="B636" t="s">
        <v>6</v>
      </c>
      <c r="C636" t="s">
        <v>19</v>
      </c>
      <c r="D636" t="s">
        <v>20</v>
      </c>
      <c r="E636">
        <v>2023</v>
      </c>
      <c r="F636" t="s">
        <v>92</v>
      </c>
      <c r="G636" t="s">
        <v>93</v>
      </c>
      <c r="H636" s="1">
        <v>35195.414797672798</v>
      </c>
      <c r="I636">
        <f>_FIIPer1000[[#This Row],[No.Per1000Adults]]-H635</f>
        <v>-220.0027377045044</v>
      </c>
      <c r="J636" t="s">
        <v>67</v>
      </c>
      <c r="K636" t="s">
        <v>68</v>
      </c>
    </row>
    <row r="637" spans="1:11" x14ac:dyDescent="0.25">
      <c r="A637" t="s">
        <v>5</v>
      </c>
      <c r="B637" t="s">
        <v>6</v>
      </c>
      <c r="C637" t="s">
        <v>19</v>
      </c>
      <c r="D637" t="s">
        <v>20</v>
      </c>
      <c r="E637">
        <v>2024</v>
      </c>
      <c r="F637" t="s">
        <v>92</v>
      </c>
      <c r="G637" t="s">
        <v>93</v>
      </c>
      <c r="H637" s="1">
        <v>34960.184545025302</v>
      </c>
      <c r="I637">
        <f>_FIIPer1000[[#This Row],[No.Per1000Adults]]-H636</f>
        <v>-235.23025264749594</v>
      </c>
      <c r="J637" t="s">
        <v>67</v>
      </c>
      <c r="K637" t="s">
        <v>68</v>
      </c>
    </row>
    <row r="638" spans="1:11" x14ac:dyDescent="0.25">
      <c r="A638" t="s">
        <v>5</v>
      </c>
      <c r="B638" t="s">
        <v>6</v>
      </c>
      <c r="C638" t="s">
        <v>21</v>
      </c>
      <c r="D638" t="s">
        <v>22</v>
      </c>
      <c r="E638">
        <v>2019</v>
      </c>
      <c r="F638" t="s">
        <v>92</v>
      </c>
      <c r="G638" t="s">
        <v>93</v>
      </c>
      <c r="J638" t="s">
        <v>67</v>
      </c>
      <c r="K638" t="s">
        <v>68</v>
      </c>
    </row>
    <row r="639" spans="1:11" x14ac:dyDescent="0.25">
      <c r="A639" t="s">
        <v>5</v>
      </c>
      <c r="B639" t="s">
        <v>6</v>
      </c>
      <c r="C639" t="s">
        <v>21</v>
      </c>
      <c r="D639" t="s">
        <v>22</v>
      </c>
      <c r="E639">
        <v>2020</v>
      </c>
      <c r="F639" t="s">
        <v>92</v>
      </c>
      <c r="G639" t="s">
        <v>93</v>
      </c>
      <c r="J639" t="s">
        <v>67</v>
      </c>
      <c r="K639" t="s">
        <v>68</v>
      </c>
    </row>
    <row r="640" spans="1:11" x14ac:dyDescent="0.25">
      <c r="A640" t="s">
        <v>5</v>
      </c>
      <c r="B640" t="s">
        <v>6</v>
      </c>
      <c r="C640" t="s">
        <v>21</v>
      </c>
      <c r="D640" t="s">
        <v>22</v>
      </c>
      <c r="E640">
        <v>2021</v>
      </c>
      <c r="F640" t="s">
        <v>92</v>
      </c>
      <c r="G640" t="s">
        <v>93</v>
      </c>
      <c r="J640" t="s">
        <v>67</v>
      </c>
      <c r="K640" t="s">
        <v>68</v>
      </c>
    </row>
    <row r="641" spans="1:11" x14ac:dyDescent="0.25">
      <c r="A641" t="s">
        <v>5</v>
      </c>
      <c r="B641" t="s">
        <v>6</v>
      </c>
      <c r="C641" t="s">
        <v>21</v>
      </c>
      <c r="D641" t="s">
        <v>22</v>
      </c>
      <c r="E641">
        <v>2022</v>
      </c>
      <c r="F641" t="s">
        <v>92</v>
      </c>
      <c r="G641" t="s">
        <v>93</v>
      </c>
      <c r="J641" t="s">
        <v>67</v>
      </c>
      <c r="K641" t="s">
        <v>68</v>
      </c>
    </row>
    <row r="642" spans="1:11" x14ac:dyDescent="0.25">
      <c r="A642" t="s">
        <v>5</v>
      </c>
      <c r="B642" t="s">
        <v>6</v>
      </c>
      <c r="C642" t="s">
        <v>21</v>
      </c>
      <c r="D642" t="s">
        <v>22</v>
      </c>
      <c r="E642">
        <v>2023</v>
      </c>
      <c r="F642" t="s">
        <v>92</v>
      </c>
      <c r="G642" t="s">
        <v>93</v>
      </c>
      <c r="J642" t="s">
        <v>67</v>
      </c>
      <c r="K642" t="s">
        <v>68</v>
      </c>
    </row>
    <row r="643" spans="1:11" x14ac:dyDescent="0.25">
      <c r="A643" t="s">
        <v>5</v>
      </c>
      <c r="B643" t="s">
        <v>6</v>
      </c>
      <c r="C643" t="s">
        <v>21</v>
      </c>
      <c r="D643" t="s">
        <v>22</v>
      </c>
      <c r="E643">
        <v>2024</v>
      </c>
      <c r="F643" t="s">
        <v>92</v>
      </c>
      <c r="G643" t="s">
        <v>93</v>
      </c>
      <c r="J643" t="s">
        <v>67</v>
      </c>
      <c r="K643" t="s">
        <v>68</v>
      </c>
    </row>
    <row r="644" spans="1:11" x14ac:dyDescent="0.25">
      <c r="A644" t="s">
        <v>5</v>
      </c>
      <c r="B644" t="s">
        <v>6</v>
      </c>
      <c r="C644" t="s">
        <v>23</v>
      </c>
      <c r="D644" t="s">
        <v>24</v>
      </c>
      <c r="E644">
        <v>2019</v>
      </c>
      <c r="F644" t="s">
        <v>92</v>
      </c>
      <c r="G644" t="s">
        <v>93</v>
      </c>
      <c r="H644" s="1">
        <v>6100.7473418718801</v>
      </c>
      <c r="J644" t="s">
        <v>67</v>
      </c>
      <c r="K644" t="s">
        <v>68</v>
      </c>
    </row>
    <row r="645" spans="1:11" x14ac:dyDescent="0.25">
      <c r="A645" t="s">
        <v>5</v>
      </c>
      <c r="B645" t="s">
        <v>6</v>
      </c>
      <c r="C645" t="s">
        <v>23</v>
      </c>
      <c r="D645" t="s">
        <v>24</v>
      </c>
      <c r="E645">
        <v>2020</v>
      </c>
      <c r="F645" t="s">
        <v>92</v>
      </c>
      <c r="G645" t="s">
        <v>93</v>
      </c>
      <c r="H645" s="1">
        <v>13429.1926853037</v>
      </c>
      <c r="I645">
        <f>_FIIPer1000[[#This Row],[No.Per1000Adults]]-H644</f>
        <v>7328.4453434318202</v>
      </c>
      <c r="J645" t="s">
        <v>67</v>
      </c>
      <c r="K645" t="s">
        <v>68</v>
      </c>
    </row>
    <row r="646" spans="1:11" x14ac:dyDescent="0.25">
      <c r="A646" t="s">
        <v>5</v>
      </c>
      <c r="B646" t="s">
        <v>6</v>
      </c>
      <c r="C646" t="s">
        <v>23</v>
      </c>
      <c r="D646" t="s">
        <v>24</v>
      </c>
      <c r="E646">
        <v>2021</v>
      </c>
      <c r="F646" t="s">
        <v>92</v>
      </c>
      <c r="G646" t="s">
        <v>93</v>
      </c>
      <c r="H646" s="1">
        <v>27725.986307126601</v>
      </c>
      <c r="I646">
        <f>_FIIPer1000[[#This Row],[No.Per1000Adults]]-H645</f>
        <v>14296.793621822901</v>
      </c>
      <c r="J646" t="s">
        <v>67</v>
      </c>
      <c r="K646" t="s">
        <v>68</v>
      </c>
    </row>
    <row r="647" spans="1:11" x14ac:dyDescent="0.25">
      <c r="A647" t="s">
        <v>5</v>
      </c>
      <c r="B647" t="s">
        <v>6</v>
      </c>
      <c r="C647" t="s">
        <v>23</v>
      </c>
      <c r="D647" t="s">
        <v>24</v>
      </c>
      <c r="E647">
        <v>2022</v>
      </c>
      <c r="F647" t="s">
        <v>92</v>
      </c>
      <c r="G647" t="s">
        <v>93</v>
      </c>
      <c r="H647" s="1">
        <v>51563.894462299802</v>
      </c>
      <c r="I647">
        <f>_FIIPer1000[[#This Row],[No.Per1000Adults]]-H646</f>
        <v>23837.908155173202</v>
      </c>
      <c r="J647" t="s">
        <v>67</v>
      </c>
      <c r="K647" t="s">
        <v>68</v>
      </c>
    </row>
    <row r="648" spans="1:11" x14ac:dyDescent="0.25">
      <c r="A648" t="s">
        <v>5</v>
      </c>
      <c r="B648" t="s">
        <v>6</v>
      </c>
      <c r="C648" t="s">
        <v>23</v>
      </c>
      <c r="D648" t="s">
        <v>24</v>
      </c>
      <c r="E648">
        <v>2023</v>
      </c>
      <c r="F648" t="s">
        <v>92</v>
      </c>
      <c r="G648" t="s">
        <v>93</v>
      </c>
      <c r="H648" s="1">
        <v>78680.8964726415</v>
      </c>
      <c r="I648">
        <f>_FIIPer1000[[#This Row],[No.Per1000Adults]]-H647</f>
        <v>27117.002010341697</v>
      </c>
      <c r="J648" t="s">
        <v>67</v>
      </c>
      <c r="K648" t="s">
        <v>68</v>
      </c>
    </row>
    <row r="649" spans="1:11" x14ac:dyDescent="0.25">
      <c r="A649" t="s">
        <v>5</v>
      </c>
      <c r="B649" t="s">
        <v>6</v>
      </c>
      <c r="C649" t="s">
        <v>23</v>
      </c>
      <c r="D649" t="s">
        <v>24</v>
      </c>
      <c r="E649">
        <v>2024</v>
      </c>
      <c r="F649" t="s">
        <v>92</v>
      </c>
      <c r="G649" t="s">
        <v>93</v>
      </c>
      <c r="H649" s="1">
        <v>118650.73879278899</v>
      </c>
      <c r="I649">
        <f>_FIIPer1000[[#This Row],[No.Per1000Adults]]-H648</f>
        <v>39969.842320147494</v>
      </c>
      <c r="J649" t="s">
        <v>67</v>
      </c>
      <c r="K649" t="s">
        <v>68</v>
      </c>
    </row>
    <row r="650" spans="1:11" x14ac:dyDescent="0.25">
      <c r="A650" t="s">
        <v>5</v>
      </c>
      <c r="B650" t="s">
        <v>6</v>
      </c>
      <c r="C650" t="s">
        <v>27</v>
      </c>
      <c r="D650" t="s">
        <v>28</v>
      </c>
      <c r="E650">
        <v>2019</v>
      </c>
      <c r="F650" t="s">
        <v>92</v>
      </c>
      <c r="G650" t="s">
        <v>93</v>
      </c>
      <c r="H650" s="2"/>
      <c r="J650" t="s">
        <v>67</v>
      </c>
      <c r="K650" t="s">
        <v>68</v>
      </c>
    </row>
    <row r="651" spans="1:11" x14ac:dyDescent="0.25">
      <c r="A651" t="s">
        <v>5</v>
      </c>
      <c r="B651" t="s">
        <v>6</v>
      </c>
      <c r="C651" t="s">
        <v>27</v>
      </c>
      <c r="D651" t="s">
        <v>28</v>
      </c>
      <c r="E651">
        <v>2020</v>
      </c>
      <c r="F651" t="s">
        <v>92</v>
      </c>
      <c r="G651" t="s">
        <v>93</v>
      </c>
      <c r="H651" s="2"/>
      <c r="J651" t="s">
        <v>67</v>
      </c>
      <c r="K651" t="s">
        <v>68</v>
      </c>
    </row>
    <row r="652" spans="1:11" x14ac:dyDescent="0.25">
      <c r="A652" t="s">
        <v>5</v>
      </c>
      <c r="B652" t="s">
        <v>6</v>
      </c>
      <c r="C652" t="s">
        <v>27</v>
      </c>
      <c r="D652" t="s">
        <v>28</v>
      </c>
      <c r="E652">
        <v>2021</v>
      </c>
      <c r="F652" t="s">
        <v>92</v>
      </c>
      <c r="G652" t="s">
        <v>93</v>
      </c>
      <c r="H652" s="2"/>
      <c r="J652" t="s">
        <v>67</v>
      </c>
      <c r="K652" t="s">
        <v>68</v>
      </c>
    </row>
    <row r="653" spans="1:11" x14ac:dyDescent="0.25">
      <c r="A653" t="s">
        <v>5</v>
      </c>
      <c r="B653" t="s">
        <v>6</v>
      </c>
      <c r="C653" t="s">
        <v>27</v>
      </c>
      <c r="D653" t="s">
        <v>28</v>
      </c>
      <c r="E653">
        <v>2022</v>
      </c>
      <c r="F653" t="s">
        <v>92</v>
      </c>
      <c r="G653" t="s">
        <v>93</v>
      </c>
      <c r="H653" s="1">
        <v>14770.375399762001</v>
      </c>
      <c r="J653" t="s">
        <v>67</v>
      </c>
      <c r="K653" t="s">
        <v>68</v>
      </c>
    </row>
    <row r="654" spans="1:11" x14ac:dyDescent="0.25">
      <c r="A654" t="s">
        <v>5</v>
      </c>
      <c r="B654" t="s">
        <v>6</v>
      </c>
      <c r="C654" t="s">
        <v>27</v>
      </c>
      <c r="D654" t="s">
        <v>28</v>
      </c>
      <c r="E654">
        <v>2023</v>
      </c>
      <c r="F654" t="s">
        <v>92</v>
      </c>
      <c r="G654" t="s">
        <v>93</v>
      </c>
      <c r="H654" s="1">
        <v>16015.049165861599</v>
      </c>
      <c r="I654">
        <f>_FIIPer1000[[#This Row],[No.Per1000Adults]]-H653</f>
        <v>1244.6737660995987</v>
      </c>
      <c r="J654" t="s">
        <v>67</v>
      </c>
      <c r="K654" t="s">
        <v>68</v>
      </c>
    </row>
    <row r="655" spans="1:11" x14ac:dyDescent="0.25">
      <c r="A655" t="s">
        <v>5</v>
      </c>
      <c r="B655" t="s">
        <v>6</v>
      </c>
      <c r="C655" t="s">
        <v>27</v>
      </c>
      <c r="D655" t="s">
        <v>28</v>
      </c>
      <c r="E655">
        <v>2024</v>
      </c>
      <c r="F655" t="s">
        <v>92</v>
      </c>
      <c r="G655" t="s">
        <v>93</v>
      </c>
      <c r="H655" s="1">
        <v>17782.745178370202</v>
      </c>
      <c r="I655">
        <f>_FIIPer1000[[#This Row],[No.Per1000Adults]]-H654</f>
        <v>1767.6960125086025</v>
      </c>
      <c r="J655" t="s">
        <v>67</v>
      </c>
      <c r="K655" t="s">
        <v>68</v>
      </c>
    </row>
    <row r="656" spans="1:11" x14ac:dyDescent="0.25">
      <c r="A656" t="s">
        <v>5</v>
      </c>
      <c r="B656" t="s">
        <v>6</v>
      </c>
      <c r="C656" t="s">
        <v>29</v>
      </c>
      <c r="D656" t="s">
        <v>30</v>
      </c>
      <c r="E656">
        <v>2019</v>
      </c>
      <c r="F656" t="s">
        <v>92</v>
      </c>
      <c r="G656" t="s">
        <v>93</v>
      </c>
      <c r="J656" t="s">
        <v>67</v>
      </c>
      <c r="K656" t="s">
        <v>68</v>
      </c>
    </row>
    <row r="657" spans="1:11" x14ac:dyDescent="0.25">
      <c r="A657" t="s">
        <v>5</v>
      </c>
      <c r="B657" t="s">
        <v>6</v>
      </c>
      <c r="C657" t="s">
        <v>29</v>
      </c>
      <c r="D657" t="s">
        <v>30</v>
      </c>
      <c r="E657">
        <v>2020</v>
      </c>
      <c r="F657" t="s">
        <v>92</v>
      </c>
      <c r="G657" t="s">
        <v>93</v>
      </c>
      <c r="J657" t="s">
        <v>67</v>
      </c>
      <c r="K657" t="s">
        <v>68</v>
      </c>
    </row>
    <row r="658" spans="1:11" x14ac:dyDescent="0.25">
      <c r="A658" t="s">
        <v>5</v>
      </c>
      <c r="B658" t="s">
        <v>6</v>
      </c>
      <c r="C658" t="s">
        <v>29</v>
      </c>
      <c r="D658" t="s">
        <v>30</v>
      </c>
      <c r="E658">
        <v>2021</v>
      </c>
      <c r="F658" t="s">
        <v>92</v>
      </c>
      <c r="G658" t="s">
        <v>93</v>
      </c>
      <c r="J658" t="s">
        <v>67</v>
      </c>
      <c r="K658" t="s">
        <v>68</v>
      </c>
    </row>
    <row r="659" spans="1:11" x14ac:dyDescent="0.25">
      <c r="A659" t="s">
        <v>5</v>
      </c>
      <c r="B659" t="s">
        <v>6</v>
      </c>
      <c r="C659" t="s">
        <v>29</v>
      </c>
      <c r="D659" t="s">
        <v>30</v>
      </c>
      <c r="E659">
        <v>2022</v>
      </c>
      <c r="F659" t="s">
        <v>92</v>
      </c>
      <c r="G659" t="s">
        <v>93</v>
      </c>
      <c r="J659" t="s">
        <v>67</v>
      </c>
      <c r="K659" t="s">
        <v>68</v>
      </c>
    </row>
    <row r="660" spans="1:11" x14ac:dyDescent="0.25">
      <c r="A660" t="s">
        <v>5</v>
      </c>
      <c r="B660" t="s">
        <v>6</v>
      </c>
      <c r="C660" t="s">
        <v>29</v>
      </c>
      <c r="D660" t="s">
        <v>30</v>
      </c>
      <c r="E660">
        <v>2023</v>
      </c>
      <c r="F660" t="s">
        <v>92</v>
      </c>
      <c r="G660" t="s">
        <v>93</v>
      </c>
      <c r="J660" t="s">
        <v>67</v>
      </c>
      <c r="K660" t="s">
        <v>68</v>
      </c>
    </row>
    <row r="661" spans="1:11" x14ac:dyDescent="0.25">
      <c r="A661" t="s">
        <v>5</v>
      </c>
      <c r="B661" t="s">
        <v>6</v>
      </c>
      <c r="C661" t="s">
        <v>29</v>
      </c>
      <c r="D661" t="s">
        <v>30</v>
      </c>
      <c r="E661">
        <v>2024</v>
      </c>
      <c r="F661" t="s">
        <v>92</v>
      </c>
      <c r="G661" t="s">
        <v>93</v>
      </c>
      <c r="J661" t="s">
        <v>67</v>
      </c>
      <c r="K661" t="s">
        <v>68</v>
      </c>
    </row>
    <row r="662" spans="1:11" x14ac:dyDescent="0.25">
      <c r="A662" t="s">
        <v>5</v>
      </c>
      <c r="B662" t="s">
        <v>6</v>
      </c>
      <c r="C662" t="s">
        <v>33</v>
      </c>
      <c r="D662" t="s">
        <v>34</v>
      </c>
      <c r="E662">
        <v>2019</v>
      </c>
      <c r="F662" t="s">
        <v>92</v>
      </c>
      <c r="G662" t="s">
        <v>93</v>
      </c>
      <c r="H662" s="1">
        <v>14423.214741606</v>
      </c>
      <c r="J662" t="s">
        <v>67</v>
      </c>
      <c r="K662" t="s">
        <v>68</v>
      </c>
    </row>
    <row r="663" spans="1:11" x14ac:dyDescent="0.25">
      <c r="A663" t="s">
        <v>5</v>
      </c>
      <c r="B663" t="s">
        <v>6</v>
      </c>
      <c r="C663" t="s">
        <v>33</v>
      </c>
      <c r="D663" t="s">
        <v>34</v>
      </c>
      <c r="E663">
        <v>2020</v>
      </c>
      <c r="F663" t="s">
        <v>92</v>
      </c>
      <c r="G663" t="s">
        <v>93</v>
      </c>
      <c r="H663" s="1">
        <v>15451.2419210423</v>
      </c>
      <c r="I663">
        <f>_FIIPer1000[[#This Row],[No.Per1000Adults]]-H662</f>
        <v>1028.0271794362998</v>
      </c>
      <c r="J663" t="s">
        <v>67</v>
      </c>
      <c r="K663" t="s">
        <v>68</v>
      </c>
    </row>
    <row r="664" spans="1:11" x14ac:dyDescent="0.25">
      <c r="A664" t="s">
        <v>5</v>
      </c>
      <c r="B664" t="s">
        <v>6</v>
      </c>
      <c r="C664" t="s">
        <v>33</v>
      </c>
      <c r="D664" t="s">
        <v>34</v>
      </c>
      <c r="E664">
        <v>2021</v>
      </c>
      <c r="F664" t="s">
        <v>92</v>
      </c>
      <c r="G664" t="s">
        <v>93</v>
      </c>
      <c r="H664" s="1">
        <v>17927.2681293198</v>
      </c>
      <c r="I664">
        <f>_FIIPer1000[[#This Row],[No.Per1000Adults]]-H663</f>
        <v>2476.0262082775007</v>
      </c>
      <c r="J664" t="s">
        <v>67</v>
      </c>
      <c r="K664" t="s">
        <v>68</v>
      </c>
    </row>
    <row r="665" spans="1:11" x14ac:dyDescent="0.25">
      <c r="A665" t="s">
        <v>5</v>
      </c>
      <c r="B665" t="s">
        <v>6</v>
      </c>
      <c r="C665" t="s">
        <v>33</v>
      </c>
      <c r="D665" t="s">
        <v>34</v>
      </c>
      <c r="E665">
        <v>2022</v>
      </c>
      <c r="F665" t="s">
        <v>92</v>
      </c>
      <c r="G665" t="s">
        <v>93</v>
      </c>
      <c r="H665" s="1">
        <v>20816.219176376599</v>
      </c>
      <c r="I665">
        <f>_FIIPer1000[[#This Row],[No.Per1000Adults]]-H664</f>
        <v>2888.9510470567984</v>
      </c>
      <c r="J665" t="s">
        <v>67</v>
      </c>
      <c r="K665" t="s">
        <v>68</v>
      </c>
    </row>
    <row r="666" spans="1:11" x14ac:dyDescent="0.25">
      <c r="A666" t="s">
        <v>5</v>
      </c>
      <c r="B666" t="s">
        <v>6</v>
      </c>
      <c r="C666" t="s">
        <v>33</v>
      </c>
      <c r="D666" t="s">
        <v>34</v>
      </c>
      <c r="E666">
        <v>2023</v>
      </c>
      <c r="F666" t="s">
        <v>92</v>
      </c>
      <c r="G666" t="s">
        <v>93</v>
      </c>
      <c r="H666" s="1">
        <v>21975.248564744601</v>
      </c>
      <c r="I666">
        <f>_FIIPer1000[[#This Row],[No.Per1000Adults]]-H665</f>
        <v>1159.0293883680024</v>
      </c>
      <c r="J666" t="s">
        <v>67</v>
      </c>
      <c r="K666" t="s">
        <v>68</v>
      </c>
    </row>
    <row r="667" spans="1:11" x14ac:dyDescent="0.25">
      <c r="A667" t="s">
        <v>5</v>
      </c>
      <c r="B667" t="s">
        <v>6</v>
      </c>
      <c r="C667" t="s">
        <v>33</v>
      </c>
      <c r="D667" t="s">
        <v>34</v>
      </c>
      <c r="E667">
        <v>2024</v>
      </c>
      <c r="F667" t="s">
        <v>92</v>
      </c>
      <c r="G667" t="s">
        <v>93</v>
      </c>
      <c r="H667" s="1">
        <v>24887.794545957298</v>
      </c>
      <c r="I667">
        <f>_FIIPer1000[[#This Row],[No.Per1000Adults]]-H666</f>
        <v>2912.5459812126974</v>
      </c>
      <c r="J667" t="s">
        <v>67</v>
      </c>
      <c r="K667" t="s">
        <v>68</v>
      </c>
    </row>
    <row r="668" spans="1:11" x14ac:dyDescent="0.25">
      <c r="A668" t="s">
        <v>5</v>
      </c>
      <c r="B668" t="s">
        <v>6</v>
      </c>
      <c r="C668" t="s">
        <v>31</v>
      </c>
      <c r="D668" t="s">
        <v>32</v>
      </c>
      <c r="E668">
        <v>2019</v>
      </c>
      <c r="F668" t="s">
        <v>92</v>
      </c>
      <c r="G668" t="s">
        <v>93</v>
      </c>
      <c r="H668" s="1">
        <v>102407.630459908</v>
      </c>
      <c r="J668" t="s">
        <v>67</v>
      </c>
      <c r="K668" t="s">
        <v>68</v>
      </c>
    </row>
    <row r="669" spans="1:11" x14ac:dyDescent="0.25">
      <c r="A669" t="s">
        <v>5</v>
      </c>
      <c r="B669" t="s">
        <v>6</v>
      </c>
      <c r="C669" t="s">
        <v>31</v>
      </c>
      <c r="D669" t="s">
        <v>32</v>
      </c>
      <c r="E669">
        <v>2020</v>
      </c>
      <c r="F669" t="s">
        <v>92</v>
      </c>
      <c r="G669" t="s">
        <v>93</v>
      </c>
      <c r="H669" s="1">
        <v>117939.94686505001</v>
      </c>
      <c r="I669">
        <f>_FIIPer1000[[#This Row],[No.Per1000Adults]]-H668</f>
        <v>15532.316405142003</v>
      </c>
      <c r="J669" t="s">
        <v>67</v>
      </c>
      <c r="K669" t="s">
        <v>68</v>
      </c>
    </row>
    <row r="670" spans="1:11" x14ac:dyDescent="0.25">
      <c r="A670" t="s">
        <v>5</v>
      </c>
      <c r="B670" t="s">
        <v>6</v>
      </c>
      <c r="C670" t="s">
        <v>31</v>
      </c>
      <c r="D670" t="s">
        <v>32</v>
      </c>
      <c r="E670">
        <v>2021</v>
      </c>
      <c r="F670" t="s">
        <v>92</v>
      </c>
      <c r="G670" t="s">
        <v>93</v>
      </c>
      <c r="H670" s="1">
        <v>138459.9986772</v>
      </c>
      <c r="I670">
        <f>_FIIPer1000[[#This Row],[No.Per1000Adults]]-H669</f>
        <v>20520.051812149992</v>
      </c>
      <c r="J670" t="s">
        <v>67</v>
      </c>
      <c r="K670" t="s">
        <v>68</v>
      </c>
    </row>
    <row r="671" spans="1:11" x14ac:dyDescent="0.25">
      <c r="A671" t="s">
        <v>5</v>
      </c>
      <c r="B671" t="s">
        <v>6</v>
      </c>
      <c r="C671" t="s">
        <v>31</v>
      </c>
      <c r="D671" t="s">
        <v>32</v>
      </c>
      <c r="E671">
        <v>2022</v>
      </c>
      <c r="F671" t="s">
        <v>92</v>
      </c>
      <c r="G671" t="s">
        <v>93</v>
      </c>
      <c r="H671" s="1">
        <v>157179.272279989</v>
      </c>
      <c r="I671">
        <f>_FIIPer1000[[#This Row],[No.Per1000Adults]]-H670</f>
        <v>18719.273602789006</v>
      </c>
      <c r="J671" t="s">
        <v>67</v>
      </c>
      <c r="K671" t="s">
        <v>68</v>
      </c>
    </row>
    <row r="672" spans="1:11" x14ac:dyDescent="0.25">
      <c r="A672" t="s">
        <v>5</v>
      </c>
      <c r="B672" t="s">
        <v>6</v>
      </c>
      <c r="C672" t="s">
        <v>31</v>
      </c>
      <c r="D672" t="s">
        <v>32</v>
      </c>
      <c r="E672">
        <v>2023</v>
      </c>
      <c r="F672" t="s">
        <v>92</v>
      </c>
      <c r="G672" t="s">
        <v>93</v>
      </c>
      <c r="H672" s="1">
        <v>179584.038165637</v>
      </c>
      <c r="I672">
        <f>_FIIPer1000[[#This Row],[No.Per1000Adults]]-H671</f>
        <v>22404.765885647997</v>
      </c>
      <c r="J672" t="s">
        <v>67</v>
      </c>
      <c r="K672" t="s">
        <v>68</v>
      </c>
    </row>
    <row r="673" spans="1:11" x14ac:dyDescent="0.25">
      <c r="A673" t="s">
        <v>5</v>
      </c>
      <c r="B673" t="s">
        <v>6</v>
      </c>
      <c r="C673" t="s">
        <v>31</v>
      </c>
      <c r="D673" t="s">
        <v>32</v>
      </c>
      <c r="E673">
        <v>2024</v>
      </c>
      <c r="F673" t="s">
        <v>92</v>
      </c>
      <c r="G673" t="s">
        <v>93</v>
      </c>
      <c r="H673" s="1">
        <v>201730.19942894299</v>
      </c>
      <c r="I673">
        <f>_FIIPer1000[[#This Row],[No.Per1000Adults]]-H672</f>
        <v>22146.161263305985</v>
      </c>
      <c r="J673" t="s">
        <v>67</v>
      </c>
      <c r="K673" t="s">
        <v>68</v>
      </c>
    </row>
    <row r="674" spans="1:11" x14ac:dyDescent="0.25">
      <c r="A674" t="s">
        <v>5</v>
      </c>
      <c r="B674" t="s">
        <v>6</v>
      </c>
      <c r="C674" t="s">
        <v>35</v>
      </c>
      <c r="D674" t="s">
        <v>36</v>
      </c>
      <c r="E674">
        <v>2019</v>
      </c>
      <c r="F674" t="s">
        <v>92</v>
      </c>
      <c r="G674" t="s">
        <v>93</v>
      </c>
      <c r="H674" s="1">
        <v>101871.597044872</v>
      </c>
      <c r="J674" t="s">
        <v>67</v>
      </c>
      <c r="K674" t="s">
        <v>68</v>
      </c>
    </row>
    <row r="675" spans="1:11" x14ac:dyDescent="0.25">
      <c r="A675" t="s">
        <v>5</v>
      </c>
      <c r="B675" t="s">
        <v>6</v>
      </c>
      <c r="C675" t="s">
        <v>35</v>
      </c>
      <c r="D675" t="s">
        <v>36</v>
      </c>
      <c r="E675">
        <v>2020</v>
      </c>
      <c r="F675" t="s">
        <v>92</v>
      </c>
      <c r="G675" t="s">
        <v>93</v>
      </c>
      <c r="H675" s="1">
        <v>217410.90152441201</v>
      </c>
      <c r="I675">
        <f>_FIIPer1000[[#This Row],[No.Per1000Adults]]-H674</f>
        <v>115539.30447954001</v>
      </c>
      <c r="J675" t="s">
        <v>67</v>
      </c>
      <c r="K675" t="s">
        <v>68</v>
      </c>
    </row>
    <row r="676" spans="1:11" x14ac:dyDescent="0.25">
      <c r="A676" t="s">
        <v>5</v>
      </c>
      <c r="B676" t="s">
        <v>6</v>
      </c>
      <c r="C676" t="s">
        <v>35</v>
      </c>
      <c r="D676" t="s">
        <v>36</v>
      </c>
      <c r="E676">
        <v>2021</v>
      </c>
      <c r="F676" t="s">
        <v>92</v>
      </c>
      <c r="G676" t="s">
        <v>93</v>
      </c>
      <c r="H676" s="1">
        <v>277268.27447823802</v>
      </c>
      <c r="I676">
        <f>_FIIPer1000[[#This Row],[No.Per1000Adults]]-H675</f>
        <v>59857.372953826009</v>
      </c>
      <c r="J676" t="s">
        <v>67</v>
      </c>
      <c r="K676" t="s">
        <v>68</v>
      </c>
    </row>
    <row r="677" spans="1:11" x14ac:dyDescent="0.25">
      <c r="A677" t="s">
        <v>5</v>
      </c>
      <c r="B677" t="s">
        <v>6</v>
      </c>
      <c r="C677" t="s">
        <v>35</v>
      </c>
      <c r="D677" t="s">
        <v>36</v>
      </c>
      <c r="E677">
        <v>2022</v>
      </c>
      <c r="F677" t="s">
        <v>92</v>
      </c>
      <c r="G677" t="s">
        <v>93</v>
      </c>
      <c r="H677" s="1">
        <v>312890.58459291601</v>
      </c>
      <c r="I677">
        <f>_FIIPer1000[[#This Row],[No.Per1000Adults]]-H676</f>
        <v>35622.310114677995</v>
      </c>
      <c r="J677" t="s">
        <v>67</v>
      </c>
      <c r="K677" t="s">
        <v>68</v>
      </c>
    </row>
    <row r="678" spans="1:11" x14ac:dyDescent="0.25">
      <c r="A678" t="s">
        <v>5</v>
      </c>
      <c r="B678" t="s">
        <v>6</v>
      </c>
      <c r="C678" t="s">
        <v>35</v>
      </c>
      <c r="D678" t="s">
        <v>36</v>
      </c>
      <c r="E678">
        <v>2023</v>
      </c>
      <c r="F678" t="s">
        <v>92</v>
      </c>
      <c r="G678" t="s">
        <v>93</v>
      </c>
      <c r="H678" s="1">
        <v>379621.76622118102</v>
      </c>
      <c r="I678">
        <f>_FIIPer1000[[#This Row],[No.Per1000Adults]]-H677</f>
        <v>66731.181628265011</v>
      </c>
      <c r="J678" t="s">
        <v>67</v>
      </c>
      <c r="K678" t="s">
        <v>68</v>
      </c>
    </row>
    <row r="679" spans="1:11" x14ac:dyDescent="0.25">
      <c r="A679" t="s">
        <v>5</v>
      </c>
      <c r="B679" t="s">
        <v>6</v>
      </c>
      <c r="C679" t="s">
        <v>35</v>
      </c>
      <c r="D679" t="s">
        <v>36</v>
      </c>
      <c r="E679">
        <v>2024</v>
      </c>
      <c r="F679" t="s">
        <v>92</v>
      </c>
      <c r="G679" t="s">
        <v>93</v>
      </c>
      <c r="H679" s="1">
        <v>472428.330964202</v>
      </c>
      <c r="I679">
        <f>_FIIPer1000[[#This Row],[No.Per1000Adults]]-H678</f>
        <v>92806.564743020979</v>
      </c>
      <c r="J679" t="s">
        <v>67</v>
      </c>
      <c r="K679" t="s">
        <v>68</v>
      </c>
    </row>
    <row r="680" spans="1:11" x14ac:dyDescent="0.25">
      <c r="A680" t="s">
        <v>5</v>
      </c>
      <c r="B680" t="s">
        <v>6</v>
      </c>
      <c r="C680" t="s">
        <v>39</v>
      </c>
      <c r="D680" t="s">
        <v>40</v>
      </c>
      <c r="E680">
        <v>2019</v>
      </c>
      <c r="F680" t="s">
        <v>92</v>
      </c>
      <c r="G680" t="s">
        <v>93</v>
      </c>
      <c r="H680" s="1">
        <v>37520.948246343003</v>
      </c>
      <c r="J680" t="s">
        <v>67</v>
      </c>
      <c r="K680" t="s">
        <v>68</v>
      </c>
    </row>
    <row r="681" spans="1:11" x14ac:dyDescent="0.25">
      <c r="A681" t="s">
        <v>5</v>
      </c>
      <c r="B681" t="s">
        <v>6</v>
      </c>
      <c r="C681" t="s">
        <v>39</v>
      </c>
      <c r="D681" t="s">
        <v>40</v>
      </c>
      <c r="E681">
        <v>2020</v>
      </c>
      <c r="F681" t="s">
        <v>92</v>
      </c>
      <c r="G681" t="s">
        <v>93</v>
      </c>
      <c r="H681" s="1">
        <v>50429.258285252698</v>
      </c>
      <c r="I681">
        <f>_FIIPer1000[[#This Row],[No.Per1000Adults]]-H680</f>
        <v>12908.310038909694</v>
      </c>
      <c r="J681" t="s">
        <v>67</v>
      </c>
      <c r="K681" t="s">
        <v>68</v>
      </c>
    </row>
    <row r="682" spans="1:11" x14ac:dyDescent="0.25">
      <c r="A682" t="s">
        <v>5</v>
      </c>
      <c r="B682" t="s">
        <v>6</v>
      </c>
      <c r="C682" t="s">
        <v>39</v>
      </c>
      <c r="D682" t="s">
        <v>40</v>
      </c>
      <c r="E682">
        <v>2021</v>
      </c>
      <c r="F682" t="s">
        <v>92</v>
      </c>
      <c r="G682" t="s">
        <v>93</v>
      </c>
      <c r="H682" s="1">
        <v>76545.656771837399</v>
      </c>
      <c r="I682">
        <f>_FIIPer1000[[#This Row],[No.Per1000Adults]]-H681</f>
        <v>26116.398486584701</v>
      </c>
      <c r="J682" t="s">
        <v>67</v>
      </c>
      <c r="K682" t="s">
        <v>68</v>
      </c>
    </row>
    <row r="683" spans="1:11" x14ac:dyDescent="0.25">
      <c r="A683" t="s">
        <v>5</v>
      </c>
      <c r="B683" t="s">
        <v>6</v>
      </c>
      <c r="C683" t="s">
        <v>39</v>
      </c>
      <c r="D683" t="s">
        <v>40</v>
      </c>
      <c r="E683">
        <v>2022</v>
      </c>
      <c r="F683" t="s">
        <v>92</v>
      </c>
      <c r="G683" t="s">
        <v>93</v>
      </c>
      <c r="H683" s="1">
        <v>105996.30260397401</v>
      </c>
      <c r="I683">
        <f>_FIIPer1000[[#This Row],[No.Per1000Adults]]-H682</f>
        <v>29450.645832136608</v>
      </c>
      <c r="J683" t="s">
        <v>67</v>
      </c>
      <c r="K683" t="s">
        <v>68</v>
      </c>
    </row>
    <row r="684" spans="1:11" x14ac:dyDescent="0.25">
      <c r="A684" t="s">
        <v>5</v>
      </c>
      <c r="B684" t="s">
        <v>6</v>
      </c>
      <c r="C684" t="s">
        <v>39</v>
      </c>
      <c r="D684" t="s">
        <v>40</v>
      </c>
      <c r="E684">
        <v>2023</v>
      </c>
      <c r="F684" t="s">
        <v>92</v>
      </c>
      <c r="G684" t="s">
        <v>93</v>
      </c>
      <c r="H684" s="1">
        <v>145686.76603298599</v>
      </c>
      <c r="I684">
        <f>_FIIPer1000[[#This Row],[No.Per1000Adults]]-H683</f>
        <v>39690.463429011987</v>
      </c>
      <c r="J684" t="s">
        <v>67</v>
      </c>
      <c r="K684" t="s">
        <v>68</v>
      </c>
    </row>
    <row r="685" spans="1:11" x14ac:dyDescent="0.25">
      <c r="A685" t="s">
        <v>5</v>
      </c>
      <c r="B685" t="s">
        <v>6</v>
      </c>
      <c r="C685" t="s">
        <v>39</v>
      </c>
      <c r="D685" t="s">
        <v>40</v>
      </c>
      <c r="E685">
        <v>2024</v>
      </c>
      <c r="F685" t="s">
        <v>92</v>
      </c>
      <c r="G685" t="s">
        <v>93</v>
      </c>
      <c r="H685" s="1">
        <v>165541.803878573</v>
      </c>
      <c r="I685">
        <f>_FIIPer1000[[#This Row],[No.Per1000Adults]]-H684</f>
        <v>19855.037845587009</v>
      </c>
      <c r="J685" t="s">
        <v>67</v>
      </c>
      <c r="K685" t="s">
        <v>68</v>
      </c>
    </row>
    <row r="686" spans="1:11" x14ac:dyDescent="0.25">
      <c r="A686" t="s">
        <v>5</v>
      </c>
      <c r="B686" t="s">
        <v>6</v>
      </c>
      <c r="C686" t="s">
        <v>43</v>
      </c>
      <c r="D686" t="s">
        <v>44</v>
      </c>
      <c r="E686">
        <v>2019</v>
      </c>
      <c r="F686" t="s">
        <v>92</v>
      </c>
      <c r="G686" t="s">
        <v>93</v>
      </c>
      <c r="J686" t="s">
        <v>67</v>
      </c>
      <c r="K686" t="s">
        <v>68</v>
      </c>
    </row>
    <row r="687" spans="1:11" x14ac:dyDescent="0.25">
      <c r="A687" t="s">
        <v>5</v>
      </c>
      <c r="B687" t="s">
        <v>6</v>
      </c>
      <c r="C687" t="s">
        <v>43</v>
      </c>
      <c r="D687" t="s">
        <v>44</v>
      </c>
      <c r="E687">
        <v>2020</v>
      </c>
      <c r="F687" t="s">
        <v>92</v>
      </c>
      <c r="G687" t="s">
        <v>93</v>
      </c>
      <c r="J687" t="s">
        <v>67</v>
      </c>
      <c r="K687" t="s">
        <v>68</v>
      </c>
    </row>
    <row r="688" spans="1:11" x14ac:dyDescent="0.25">
      <c r="A688" t="s">
        <v>5</v>
      </c>
      <c r="B688" t="s">
        <v>6</v>
      </c>
      <c r="C688" t="s">
        <v>43</v>
      </c>
      <c r="D688" t="s">
        <v>44</v>
      </c>
      <c r="E688">
        <v>2021</v>
      </c>
      <c r="F688" t="s">
        <v>92</v>
      </c>
      <c r="G688" t="s">
        <v>93</v>
      </c>
      <c r="J688" t="s">
        <v>67</v>
      </c>
      <c r="K688" t="s">
        <v>68</v>
      </c>
    </row>
    <row r="689" spans="1:11" x14ac:dyDescent="0.25">
      <c r="A689" t="s">
        <v>5</v>
      </c>
      <c r="B689" t="s">
        <v>6</v>
      </c>
      <c r="C689" t="s">
        <v>43</v>
      </c>
      <c r="D689" t="s">
        <v>44</v>
      </c>
      <c r="E689">
        <v>2022</v>
      </c>
      <c r="F689" t="s">
        <v>92</v>
      </c>
      <c r="G689" t="s">
        <v>93</v>
      </c>
      <c r="J689" t="s">
        <v>67</v>
      </c>
      <c r="K689" t="s">
        <v>68</v>
      </c>
    </row>
    <row r="690" spans="1:11" x14ac:dyDescent="0.25">
      <c r="A690" t="s">
        <v>5</v>
      </c>
      <c r="B690" t="s">
        <v>6</v>
      </c>
      <c r="C690" t="s">
        <v>43</v>
      </c>
      <c r="D690" t="s">
        <v>44</v>
      </c>
      <c r="E690">
        <v>2023</v>
      </c>
      <c r="F690" t="s">
        <v>92</v>
      </c>
      <c r="G690" t="s">
        <v>93</v>
      </c>
      <c r="J690" t="s">
        <v>67</v>
      </c>
      <c r="K690" t="s">
        <v>68</v>
      </c>
    </row>
    <row r="691" spans="1:11" x14ac:dyDescent="0.25">
      <c r="A691" t="s">
        <v>5</v>
      </c>
      <c r="B691" t="s">
        <v>6</v>
      </c>
      <c r="C691" t="s">
        <v>43</v>
      </c>
      <c r="D691" t="s">
        <v>44</v>
      </c>
      <c r="E691">
        <v>2024</v>
      </c>
      <c r="F691" t="s">
        <v>92</v>
      </c>
      <c r="G691" t="s">
        <v>93</v>
      </c>
      <c r="J691" t="s">
        <v>67</v>
      </c>
      <c r="K691" t="s">
        <v>68</v>
      </c>
    </row>
    <row r="692" spans="1:11" x14ac:dyDescent="0.25">
      <c r="A692" t="s">
        <v>5</v>
      </c>
      <c r="B692" t="s">
        <v>6</v>
      </c>
      <c r="C692" t="s">
        <v>25</v>
      </c>
      <c r="D692" t="s">
        <v>26</v>
      </c>
      <c r="E692">
        <v>2019</v>
      </c>
      <c r="F692" t="s">
        <v>92</v>
      </c>
      <c r="G692" t="s">
        <v>93</v>
      </c>
      <c r="H692" s="1">
        <v>17438.0787232896</v>
      </c>
      <c r="J692" t="s">
        <v>67</v>
      </c>
      <c r="K692" t="s">
        <v>68</v>
      </c>
    </row>
    <row r="693" spans="1:11" x14ac:dyDescent="0.25">
      <c r="A693" t="s">
        <v>5</v>
      </c>
      <c r="B693" t="s">
        <v>6</v>
      </c>
      <c r="C693" t="s">
        <v>25</v>
      </c>
      <c r="D693" t="s">
        <v>26</v>
      </c>
      <c r="E693">
        <v>2020</v>
      </c>
      <c r="F693" t="s">
        <v>92</v>
      </c>
      <c r="G693" t="s">
        <v>93</v>
      </c>
      <c r="H693" s="1">
        <v>24330.233416246501</v>
      </c>
      <c r="I693">
        <f>_FIIPer1000[[#This Row],[No.Per1000Adults]]-H692</f>
        <v>6892.1546929569013</v>
      </c>
      <c r="J693" t="s">
        <v>67</v>
      </c>
      <c r="K693" t="s">
        <v>68</v>
      </c>
    </row>
    <row r="694" spans="1:11" x14ac:dyDescent="0.25">
      <c r="A694" t="s">
        <v>5</v>
      </c>
      <c r="B694" t="s">
        <v>6</v>
      </c>
      <c r="C694" t="s">
        <v>25</v>
      </c>
      <c r="D694" t="s">
        <v>26</v>
      </c>
      <c r="E694">
        <v>2021</v>
      </c>
      <c r="F694" t="s">
        <v>92</v>
      </c>
      <c r="G694" t="s">
        <v>93</v>
      </c>
      <c r="H694" s="1">
        <v>37732.457287218502</v>
      </c>
      <c r="I694">
        <f>_FIIPer1000[[#This Row],[No.Per1000Adults]]-H693</f>
        <v>13402.223870972</v>
      </c>
      <c r="J694" t="s">
        <v>67</v>
      </c>
      <c r="K694" t="s">
        <v>68</v>
      </c>
    </row>
    <row r="695" spans="1:11" x14ac:dyDescent="0.25">
      <c r="A695" t="s">
        <v>5</v>
      </c>
      <c r="B695" t="s">
        <v>6</v>
      </c>
      <c r="C695" t="s">
        <v>25</v>
      </c>
      <c r="D695" t="s">
        <v>26</v>
      </c>
      <c r="E695">
        <v>2022</v>
      </c>
      <c r="F695" t="s">
        <v>92</v>
      </c>
      <c r="G695" t="s">
        <v>93</v>
      </c>
      <c r="H695" s="1">
        <v>56462.432740995901</v>
      </c>
      <c r="I695">
        <f>_FIIPer1000[[#This Row],[No.Per1000Adults]]-H694</f>
        <v>18729.975453777399</v>
      </c>
      <c r="J695" t="s">
        <v>67</v>
      </c>
      <c r="K695" t="s">
        <v>68</v>
      </c>
    </row>
    <row r="696" spans="1:11" x14ac:dyDescent="0.25">
      <c r="A696" t="s">
        <v>5</v>
      </c>
      <c r="B696" t="s">
        <v>6</v>
      </c>
      <c r="C696" t="s">
        <v>25</v>
      </c>
      <c r="D696" t="s">
        <v>26</v>
      </c>
      <c r="E696">
        <v>2023</v>
      </c>
      <c r="F696" t="s">
        <v>92</v>
      </c>
      <c r="G696" t="s">
        <v>93</v>
      </c>
      <c r="H696" s="1">
        <v>76011.964301862798</v>
      </c>
      <c r="I696">
        <f>_FIIPer1000[[#This Row],[No.Per1000Adults]]-H695</f>
        <v>19549.531560866897</v>
      </c>
      <c r="J696" t="s">
        <v>67</v>
      </c>
      <c r="K696" t="s">
        <v>68</v>
      </c>
    </row>
    <row r="697" spans="1:11" x14ac:dyDescent="0.25">
      <c r="A697" t="s">
        <v>5</v>
      </c>
      <c r="B697" t="s">
        <v>6</v>
      </c>
      <c r="C697" t="s">
        <v>25</v>
      </c>
      <c r="D697" t="s">
        <v>26</v>
      </c>
      <c r="E697">
        <v>2024</v>
      </c>
      <c r="F697" t="s">
        <v>92</v>
      </c>
      <c r="G697" t="s">
        <v>93</v>
      </c>
      <c r="H697" s="1">
        <v>102941.232655282</v>
      </c>
      <c r="I697">
        <f>_FIIPer1000[[#This Row],[No.Per1000Adults]]-H696</f>
        <v>26929.268353419204</v>
      </c>
      <c r="J697" t="s">
        <v>67</v>
      </c>
      <c r="K697" t="s">
        <v>68</v>
      </c>
    </row>
    <row r="698" spans="1:11" x14ac:dyDescent="0.25">
      <c r="A698" t="s">
        <v>5</v>
      </c>
      <c r="B698" t="s">
        <v>6</v>
      </c>
      <c r="C698" t="s">
        <v>7</v>
      </c>
      <c r="D698" t="s">
        <v>8</v>
      </c>
      <c r="E698">
        <v>2019</v>
      </c>
      <c r="F698" t="s">
        <v>92</v>
      </c>
      <c r="G698" t="s">
        <v>93</v>
      </c>
      <c r="H698" s="3">
        <v>28611.664004334099</v>
      </c>
      <c r="J698" t="s">
        <v>67</v>
      </c>
      <c r="K698" t="s">
        <v>68</v>
      </c>
    </row>
    <row r="699" spans="1:11" x14ac:dyDescent="0.25">
      <c r="A699" t="s">
        <v>5</v>
      </c>
      <c r="B699" t="s">
        <v>6</v>
      </c>
      <c r="C699" t="s">
        <v>7</v>
      </c>
      <c r="D699" t="s">
        <v>8</v>
      </c>
      <c r="E699">
        <v>2020</v>
      </c>
      <c r="F699" t="s">
        <v>92</v>
      </c>
      <c r="G699" t="s">
        <v>93</v>
      </c>
      <c r="H699" s="3">
        <v>41025.897935641202</v>
      </c>
      <c r="I699">
        <f>_FIIPer1000[[#This Row],[No.Per1000Adults]]-H698</f>
        <v>12414.233931307102</v>
      </c>
      <c r="J699" t="s">
        <v>67</v>
      </c>
      <c r="K699" t="s">
        <v>68</v>
      </c>
    </row>
    <row r="700" spans="1:11" x14ac:dyDescent="0.25">
      <c r="A700" t="s">
        <v>5</v>
      </c>
      <c r="B700" t="s">
        <v>6</v>
      </c>
      <c r="C700" t="s">
        <v>7</v>
      </c>
      <c r="D700" t="s">
        <v>8</v>
      </c>
      <c r="E700">
        <v>2021</v>
      </c>
      <c r="F700" t="s">
        <v>92</v>
      </c>
      <c r="G700" t="s">
        <v>93</v>
      </c>
      <c r="H700" s="3">
        <v>62157.974589226302</v>
      </c>
      <c r="I700">
        <f>_FIIPer1000[[#This Row],[No.Per1000Adults]]-H699</f>
        <v>21132.0766535851</v>
      </c>
      <c r="J700" t="s">
        <v>67</v>
      </c>
      <c r="K700" t="s">
        <v>68</v>
      </c>
    </row>
    <row r="701" spans="1:11" x14ac:dyDescent="0.25">
      <c r="A701" t="s">
        <v>5</v>
      </c>
      <c r="B701" t="s">
        <v>6</v>
      </c>
      <c r="C701" t="s">
        <v>7</v>
      </c>
      <c r="D701" t="s">
        <v>8</v>
      </c>
      <c r="E701">
        <v>2022</v>
      </c>
      <c r="F701" t="s">
        <v>92</v>
      </c>
      <c r="G701" t="s">
        <v>93</v>
      </c>
      <c r="H701" s="3">
        <v>88755.838910108607</v>
      </c>
      <c r="I701">
        <f>_FIIPer1000[[#This Row],[No.Per1000Adults]]-H700</f>
        <v>26597.864320882305</v>
      </c>
      <c r="J701" t="s">
        <v>67</v>
      </c>
      <c r="K701" t="s">
        <v>68</v>
      </c>
    </row>
    <row r="702" spans="1:11" x14ac:dyDescent="0.25">
      <c r="A702" t="s">
        <v>5</v>
      </c>
      <c r="B702" t="s">
        <v>6</v>
      </c>
      <c r="C702" t="s">
        <v>7</v>
      </c>
      <c r="D702" t="s">
        <v>8</v>
      </c>
      <c r="E702">
        <v>2023</v>
      </c>
      <c r="F702" t="s">
        <v>92</v>
      </c>
      <c r="G702" t="s">
        <v>93</v>
      </c>
      <c r="H702" s="3">
        <v>95684.311031726495</v>
      </c>
      <c r="I702">
        <f>_FIIPer1000[[#This Row],[No.Per1000Adults]]-H701</f>
        <v>6928.4721216178878</v>
      </c>
      <c r="J702" t="s">
        <v>67</v>
      </c>
      <c r="K702" t="s">
        <v>68</v>
      </c>
    </row>
    <row r="703" spans="1:11" x14ac:dyDescent="0.25">
      <c r="A703" t="s">
        <v>5</v>
      </c>
      <c r="B703" t="s">
        <v>6</v>
      </c>
      <c r="C703" t="s">
        <v>7</v>
      </c>
      <c r="D703" t="s">
        <v>8</v>
      </c>
      <c r="E703">
        <v>2024</v>
      </c>
      <c r="F703" t="s">
        <v>92</v>
      </c>
      <c r="G703" t="s">
        <v>93</v>
      </c>
      <c r="H703" s="3">
        <v>104483.051959869</v>
      </c>
      <c r="I703">
        <f>_FIIPer1000[[#This Row],[No.Per1000Adults]]-H702</f>
        <v>8798.7409281425062</v>
      </c>
      <c r="J703" t="s">
        <v>67</v>
      </c>
      <c r="K703" t="s">
        <v>68</v>
      </c>
    </row>
    <row r="704" spans="1:11" x14ac:dyDescent="0.25">
      <c r="A704" t="s">
        <v>5</v>
      </c>
      <c r="B704" t="s">
        <v>6</v>
      </c>
      <c r="C704" t="s">
        <v>37</v>
      </c>
      <c r="D704" t="s">
        <v>38</v>
      </c>
      <c r="E704">
        <v>2019</v>
      </c>
      <c r="F704" t="s">
        <v>92</v>
      </c>
      <c r="G704" t="s">
        <v>93</v>
      </c>
      <c r="H704" s="1">
        <v>65227.421089972602</v>
      </c>
      <c r="J704" t="s">
        <v>67</v>
      </c>
      <c r="K704" t="s">
        <v>68</v>
      </c>
    </row>
    <row r="705" spans="1:11" x14ac:dyDescent="0.25">
      <c r="A705" t="s">
        <v>5</v>
      </c>
      <c r="B705" t="s">
        <v>6</v>
      </c>
      <c r="C705" t="s">
        <v>37</v>
      </c>
      <c r="D705" t="s">
        <v>38</v>
      </c>
      <c r="E705">
        <v>2020</v>
      </c>
      <c r="F705" t="s">
        <v>92</v>
      </c>
      <c r="G705" t="s">
        <v>93</v>
      </c>
      <c r="H705" s="1">
        <v>74774.631307122007</v>
      </c>
      <c r="I705">
        <f>_FIIPer1000[[#This Row],[No.Per1000Adults]]-H704</f>
        <v>9547.2102171494043</v>
      </c>
      <c r="J705" t="s">
        <v>67</v>
      </c>
      <c r="K705" t="s">
        <v>68</v>
      </c>
    </row>
    <row r="706" spans="1:11" x14ac:dyDescent="0.25">
      <c r="A706" t="s">
        <v>5</v>
      </c>
      <c r="B706" t="s">
        <v>6</v>
      </c>
      <c r="C706" t="s">
        <v>37</v>
      </c>
      <c r="D706" t="s">
        <v>38</v>
      </c>
      <c r="E706">
        <v>2021</v>
      </c>
      <c r="F706" t="s">
        <v>92</v>
      </c>
      <c r="G706" t="s">
        <v>93</v>
      </c>
      <c r="H706" s="1">
        <v>87200.123005475805</v>
      </c>
      <c r="I706">
        <f>_FIIPer1000[[#This Row],[No.Per1000Adults]]-H705</f>
        <v>12425.491698353799</v>
      </c>
      <c r="J706" t="s">
        <v>67</v>
      </c>
      <c r="K706" t="s">
        <v>68</v>
      </c>
    </row>
    <row r="707" spans="1:11" x14ac:dyDescent="0.25">
      <c r="A707" t="s">
        <v>5</v>
      </c>
      <c r="B707" t="s">
        <v>6</v>
      </c>
      <c r="C707" t="s">
        <v>37</v>
      </c>
      <c r="D707" t="s">
        <v>38</v>
      </c>
      <c r="E707">
        <v>2022</v>
      </c>
      <c r="F707" t="s">
        <v>92</v>
      </c>
      <c r="G707" t="s">
        <v>93</v>
      </c>
      <c r="H707" s="1">
        <v>102586.163771041</v>
      </c>
      <c r="I707">
        <f>_FIIPer1000[[#This Row],[No.Per1000Adults]]-H706</f>
        <v>15386.040765565194</v>
      </c>
      <c r="J707" t="s">
        <v>67</v>
      </c>
      <c r="K707" t="s">
        <v>68</v>
      </c>
    </row>
    <row r="708" spans="1:11" x14ac:dyDescent="0.25">
      <c r="A708" t="s">
        <v>5</v>
      </c>
      <c r="B708" t="s">
        <v>6</v>
      </c>
      <c r="C708" t="s">
        <v>37</v>
      </c>
      <c r="D708" t="s">
        <v>38</v>
      </c>
      <c r="E708">
        <v>2023</v>
      </c>
      <c r="F708" t="s">
        <v>92</v>
      </c>
      <c r="G708" t="s">
        <v>93</v>
      </c>
      <c r="H708" s="1">
        <v>109993.842284404</v>
      </c>
      <c r="I708">
        <f>_FIIPer1000[[#This Row],[No.Per1000Adults]]-H707</f>
        <v>7407.6785133630037</v>
      </c>
      <c r="J708" t="s">
        <v>67</v>
      </c>
      <c r="K708" t="s">
        <v>68</v>
      </c>
    </row>
    <row r="709" spans="1:11" x14ac:dyDescent="0.25">
      <c r="A709" t="s">
        <v>5</v>
      </c>
      <c r="B709" t="s">
        <v>6</v>
      </c>
      <c r="C709" t="s">
        <v>37</v>
      </c>
      <c r="D709" t="s">
        <v>38</v>
      </c>
      <c r="E709">
        <v>2024</v>
      </c>
      <c r="F709" t="s">
        <v>92</v>
      </c>
      <c r="G709" t="s">
        <v>93</v>
      </c>
      <c r="H709" s="2"/>
      <c r="J709" t="s">
        <v>67</v>
      </c>
      <c r="K709" t="s">
        <v>68</v>
      </c>
    </row>
    <row r="710" spans="1:11" x14ac:dyDescent="0.25">
      <c r="A710" t="s">
        <v>5</v>
      </c>
      <c r="B710" t="s">
        <v>6</v>
      </c>
      <c r="C710" t="s">
        <v>41</v>
      </c>
      <c r="D710" t="s">
        <v>42</v>
      </c>
      <c r="E710">
        <v>2019</v>
      </c>
      <c r="F710" t="s">
        <v>92</v>
      </c>
      <c r="G710" t="s">
        <v>93</v>
      </c>
      <c r="J710" t="s">
        <v>67</v>
      </c>
      <c r="K710" t="s">
        <v>68</v>
      </c>
    </row>
    <row r="711" spans="1:11" x14ac:dyDescent="0.25">
      <c r="A711" t="s">
        <v>5</v>
      </c>
      <c r="B711" t="s">
        <v>6</v>
      </c>
      <c r="C711" t="s">
        <v>41</v>
      </c>
      <c r="D711" t="s">
        <v>42</v>
      </c>
      <c r="E711">
        <v>2020</v>
      </c>
      <c r="F711" t="s">
        <v>92</v>
      </c>
      <c r="G711" t="s">
        <v>93</v>
      </c>
      <c r="J711" t="s">
        <v>67</v>
      </c>
      <c r="K711" t="s">
        <v>68</v>
      </c>
    </row>
    <row r="712" spans="1:11" x14ac:dyDescent="0.25">
      <c r="A712" t="s">
        <v>5</v>
      </c>
      <c r="B712" t="s">
        <v>6</v>
      </c>
      <c r="C712" t="s">
        <v>41</v>
      </c>
      <c r="D712" t="s">
        <v>42</v>
      </c>
      <c r="E712">
        <v>2021</v>
      </c>
      <c r="F712" t="s">
        <v>92</v>
      </c>
      <c r="G712" t="s">
        <v>93</v>
      </c>
      <c r="J712" t="s">
        <v>67</v>
      </c>
      <c r="K712" t="s">
        <v>68</v>
      </c>
    </row>
    <row r="713" spans="1:11" x14ac:dyDescent="0.25">
      <c r="A713" t="s">
        <v>5</v>
      </c>
      <c r="B713" t="s">
        <v>6</v>
      </c>
      <c r="C713" t="s">
        <v>41</v>
      </c>
      <c r="D713" t="s">
        <v>42</v>
      </c>
      <c r="E713">
        <v>2022</v>
      </c>
      <c r="F713" t="s">
        <v>92</v>
      </c>
      <c r="G713" t="s">
        <v>93</v>
      </c>
      <c r="J713" t="s">
        <v>67</v>
      </c>
      <c r="K713" t="s">
        <v>68</v>
      </c>
    </row>
    <row r="714" spans="1:11" x14ac:dyDescent="0.25">
      <c r="A714" t="s">
        <v>5</v>
      </c>
      <c r="B714" t="s">
        <v>6</v>
      </c>
      <c r="C714" t="s">
        <v>41</v>
      </c>
      <c r="D714" t="s">
        <v>42</v>
      </c>
      <c r="E714">
        <v>2023</v>
      </c>
      <c r="F714" t="s">
        <v>92</v>
      </c>
      <c r="G714" t="s">
        <v>93</v>
      </c>
      <c r="J714" t="s">
        <v>67</v>
      </c>
      <c r="K714" t="s">
        <v>68</v>
      </c>
    </row>
    <row r="715" spans="1:11" x14ac:dyDescent="0.25">
      <c r="A715" t="s">
        <v>5</v>
      </c>
      <c r="B715" t="s">
        <v>6</v>
      </c>
      <c r="C715" t="s">
        <v>41</v>
      </c>
      <c r="D715" t="s">
        <v>42</v>
      </c>
      <c r="E715">
        <v>2024</v>
      </c>
      <c r="F715" t="s">
        <v>92</v>
      </c>
      <c r="G715" t="s">
        <v>93</v>
      </c>
      <c r="J715" t="s">
        <v>67</v>
      </c>
      <c r="K715" t="s">
        <v>68</v>
      </c>
    </row>
    <row r="716" spans="1:11" x14ac:dyDescent="0.25">
      <c r="A716" t="s">
        <v>45</v>
      </c>
      <c r="B716" t="s">
        <v>46</v>
      </c>
      <c r="C716" t="s">
        <v>47</v>
      </c>
      <c r="D716" t="s">
        <v>48</v>
      </c>
      <c r="E716">
        <v>2019</v>
      </c>
      <c r="F716" t="s">
        <v>92</v>
      </c>
      <c r="G716" t="s">
        <v>93</v>
      </c>
      <c r="H716" s="2"/>
      <c r="J716" t="s">
        <v>67</v>
      </c>
      <c r="K716" t="s">
        <v>68</v>
      </c>
    </row>
    <row r="717" spans="1:11" x14ac:dyDescent="0.25">
      <c r="A717" t="s">
        <v>45</v>
      </c>
      <c r="B717" t="s">
        <v>46</v>
      </c>
      <c r="C717" t="s">
        <v>47</v>
      </c>
      <c r="D717" t="s">
        <v>48</v>
      </c>
      <c r="E717">
        <v>2020</v>
      </c>
      <c r="F717" t="s">
        <v>92</v>
      </c>
      <c r="G717" t="s">
        <v>93</v>
      </c>
      <c r="H717" s="2"/>
      <c r="J717" t="s">
        <v>67</v>
      </c>
      <c r="K717" t="s">
        <v>68</v>
      </c>
    </row>
    <row r="718" spans="1:11" x14ac:dyDescent="0.25">
      <c r="A718" t="s">
        <v>45</v>
      </c>
      <c r="B718" t="s">
        <v>46</v>
      </c>
      <c r="C718" t="s">
        <v>47</v>
      </c>
      <c r="D718" t="s">
        <v>48</v>
      </c>
      <c r="E718">
        <v>2021</v>
      </c>
      <c r="F718" t="s">
        <v>92</v>
      </c>
      <c r="G718" t="s">
        <v>93</v>
      </c>
      <c r="H718" s="1">
        <v>9447.0875241731701</v>
      </c>
      <c r="J718" t="s">
        <v>67</v>
      </c>
      <c r="K718" t="s">
        <v>68</v>
      </c>
    </row>
    <row r="719" spans="1:11" x14ac:dyDescent="0.25">
      <c r="A719" t="s">
        <v>45</v>
      </c>
      <c r="B719" t="s">
        <v>46</v>
      </c>
      <c r="C719" t="s">
        <v>47</v>
      </c>
      <c r="D719" t="s">
        <v>48</v>
      </c>
      <c r="E719">
        <v>2022</v>
      </c>
      <c r="F719" t="s">
        <v>92</v>
      </c>
      <c r="G719" t="s">
        <v>93</v>
      </c>
      <c r="H719" s="1">
        <v>15824.1679952212</v>
      </c>
      <c r="I719">
        <f>_FIIPer1000[[#This Row],[No.Per1000Adults]]-H718</f>
        <v>6377.0804710480297</v>
      </c>
      <c r="J719" t="s">
        <v>67</v>
      </c>
      <c r="K719" t="s">
        <v>68</v>
      </c>
    </row>
    <row r="720" spans="1:11" x14ac:dyDescent="0.25">
      <c r="A720" t="s">
        <v>45</v>
      </c>
      <c r="B720" t="s">
        <v>46</v>
      </c>
      <c r="C720" t="s">
        <v>47</v>
      </c>
      <c r="D720" t="s">
        <v>48</v>
      </c>
      <c r="E720">
        <v>2023</v>
      </c>
      <c r="F720" t="s">
        <v>92</v>
      </c>
      <c r="G720" t="s">
        <v>93</v>
      </c>
      <c r="H720" s="1">
        <v>16129.6250780793</v>
      </c>
      <c r="I720">
        <f>_FIIPer1000[[#This Row],[No.Per1000Adults]]-H719</f>
        <v>305.45708285809997</v>
      </c>
      <c r="J720" t="s">
        <v>67</v>
      </c>
      <c r="K720" t="s">
        <v>68</v>
      </c>
    </row>
    <row r="721" spans="1:11" x14ac:dyDescent="0.25">
      <c r="A721" t="s">
        <v>45</v>
      </c>
      <c r="B721" t="s">
        <v>46</v>
      </c>
      <c r="C721" t="s">
        <v>47</v>
      </c>
      <c r="D721" t="s">
        <v>48</v>
      </c>
      <c r="E721">
        <v>2024</v>
      </c>
      <c r="F721" t="s">
        <v>92</v>
      </c>
      <c r="G721" t="s">
        <v>93</v>
      </c>
      <c r="H721" s="1">
        <v>21929.3847700263</v>
      </c>
      <c r="I721">
        <f>_FIIPer1000[[#This Row],[No.Per1000Adults]]-H720</f>
        <v>5799.7596919469997</v>
      </c>
      <c r="J721" t="s">
        <v>67</v>
      </c>
      <c r="K721" t="s">
        <v>68</v>
      </c>
    </row>
    <row r="722" spans="1:11" x14ac:dyDescent="0.25">
      <c r="A722" t="s">
        <v>45</v>
      </c>
      <c r="B722" t="s">
        <v>46</v>
      </c>
      <c r="C722" t="s">
        <v>49</v>
      </c>
      <c r="D722" t="s">
        <v>50</v>
      </c>
      <c r="E722">
        <v>2019</v>
      </c>
      <c r="F722" t="s">
        <v>92</v>
      </c>
      <c r="G722" t="s">
        <v>93</v>
      </c>
      <c r="J722" t="s">
        <v>67</v>
      </c>
      <c r="K722" t="s">
        <v>68</v>
      </c>
    </row>
    <row r="723" spans="1:11" x14ac:dyDescent="0.25">
      <c r="A723" t="s">
        <v>45</v>
      </c>
      <c r="B723" t="s">
        <v>46</v>
      </c>
      <c r="C723" t="s">
        <v>49</v>
      </c>
      <c r="D723" t="s">
        <v>50</v>
      </c>
      <c r="E723">
        <v>2020</v>
      </c>
      <c r="F723" t="s">
        <v>92</v>
      </c>
      <c r="G723" t="s">
        <v>93</v>
      </c>
      <c r="J723" t="s">
        <v>67</v>
      </c>
      <c r="K723" t="s">
        <v>68</v>
      </c>
    </row>
    <row r="724" spans="1:11" x14ac:dyDescent="0.25">
      <c r="A724" t="s">
        <v>45</v>
      </c>
      <c r="B724" t="s">
        <v>46</v>
      </c>
      <c r="C724" t="s">
        <v>49</v>
      </c>
      <c r="D724" t="s">
        <v>50</v>
      </c>
      <c r="E724">
        <v>2021</v>
      </c>
      <c r="F724" t="s">
        <v>92</v>
      </c>
      <c r="G724" t="s">
        <v>93</v>
      </c>
      <c r="J724" t="s">
        <v>67</v>
      </c>
      <c r="K724" t="s">
        <v>68</v>
      </c>
    </row>
    <row r="725" spans="1:11" x14ac:dyDescent="0.25">
      <c r="A725" t="s">
        <v>45</v>
      </c>
      <c r="B725" t="s">
        <v>46</v>
      </c>
      <c r="C725" t="s">
        <v>49</v>
      </c>
      <c r="D725" t="s">
        <v>50</v>
      </c>
      <c r="E725">
        <v>2022</v>
      </c>
      <c r="F725" t="s">
        <v>92</v>
      </c>
      <c r="G725" t="s">
        <v>93</v>
      </c>
      <c r="J725" t="s">
        <v>67</v>
      </c>
      <c r="K725" t="s">
        <v>68</v>
      </c>
    </row>
    <row r="726" spans="1:11" x14ac:dyDescent="0.25">
      <c r="A726" t="s">
        <v>45</v>
      </c>
      <c r="B726" t="s">
        <v>46</v>
      </c>
      <c r="C726" t="s">
        <v>49</v>
      </c>
      <c r="D726" t="s">
        <v>50</v>
      </c>
      <c r="E726">
        <v>2023</v>
      </c>
      <c r="F726" t="s">
        <v>92</v>
      </c>
      <c r="G726" t="s">
        <v>93</v>
      </c>
      <c r="J726" t="s">
        <v>67</v>
      </c>
      <c r="K726" t="s">
        <v>68</v>
      </c>
    </row>
    <row r="727" spans="1:11" x14ac:dyDescent="0.25">
      <c r="A727" t="s">
        <v>45</v>
      </c>
      <c r="B727" t="s">
        <v>46</v>
      </c>
      <c r="C727" t="s">
        <v>49</v>
      </c>
      <c r="D727" t="s">
        <v>50</v>
      </c>
      <c r="E727">
        <v>2024</v>
      </c>
      <c r="F727" t="s">
        <v>92</v>
      </c>
      <c r="G727" t="s">
        <v>93</v>
      </c>
      <c r="J727" t="s">
        <v>67</v>
      </c>
      <c r="K727" t="s">
        <v>68</v>
      </c>
    </row>
    <row r="728" spans="1:11" x14ac:dyDescent="0.25">
      <c r="A728" t="s">
        <v>45</v>
      </c>
      <c r="B728" t="s">
        <v>46</v>
      </c>
      <c r="C728" t="s">
        <v>51</v>
      </c>
      <c r="D728" t="s">
        <v>52</v>
      </c>
      <c r="E728">
        <v>2019</v>
      </c>
      <c r="F728" t="s">
        <v>92</v>
      </c>
      <c r="G728" t="s">
        <v>93</v>
      </c>
      <c r="H728" s="2"/>
      <c r="J728" t="s">
        <v>67</v>
      </c>
      <c r="K728" t="s">
        <v>68</v>
      </c>
    </row>
    <row r="729" spans="1:11" x14ac:dyDescent="0.25">
      <c r="A729" t="s">
        <v>45</v>
      </c>
      <c r="B729" t="s">
        <v>46</v>
      </c>
      <c r="C729" t="s">
        <v>51</v>
      </c>
      <c r="D729" t="s">
        <v>52</v>
      </c>
      <c r="E729">
        <v>2020</v>
      </c>
      <c r="F729" t="s">
        <v>92</v>
      </c>
      <c r="G729" t="s">
        <v>93</v>
      </c>
      <c r="H729" s="1">
        <v>58.188088109495297</v>
      </c>
      <c r="J729" t="s">
        <v>67</v>
      </c>
      <c r="K729" t="s">
        <v>68</v>
      </c>
    </row>
    <row r="730" spans="1:11" x14ac:dyDescent="0.25">
      <c r="A730" t="s">
        <v>45</v>
      </c>
      <c r="B730" t="s">
        <v>46</v>
      </c>
      <c r="C730" t="s">
        <v>51</v>
      </c>
      <c r="D730" t="s">
        <v>52</v>
      </c>
      <c r="E730">
        <v>2021</v>
      </c>
      <c r="F730" t="s">
        <v>92</v>
      </c>
      <c r="G730" t="s">
        <v>93</v>
      </c>
      <c r="H730" s="1">
        <v>229.07007097840801</v>
      </c>
      <c r="I730">
        <f>_FIIPer1000[[#This Row],[No.Per1000Adults]]-H729</f>
        <v>170.8819828689127</v>
      </c>
      <c r="J730" t="s">
        <v>67</v>
      </c>
      <c r="K730" t="s">
        <v>68</v>
      </c>
    </row>
    <row r="731" spans="1:11" x14ac:dyDescent="0.25">
      <c r="A731" t="s">
        <v>45</v>
      </c>
      <c r="B731" t="s">
        <v>46</v>
      </c>
      <c r="C731" t="s">
        <v>51</v>
      </c>
      <c r="D731" t="s">
        <v>52</v>
      </c>
      <c r="E731">
        <v>2022</v>
      </c>
      <c r="F731" t="s">
        <v>92</v>
      </c>
      <c r="G731" t="s">
        <v>93</v>
      </c>
      <c r="H731" s="1">
        <v>1408.3964675407999</v>
      </c>
      <c r="I731">
        <f>_FIIPer1000[[#This Row],[No.Per1000Adults]]-H730</f>
        <v>1179.3263965623919</v>
      </c>
      <c r="J731" t="s">
        <v>67</v>
      </c>
      <c r="K731" t="s">
        <v>68</v>
      </c>
    </row>
    <row r="732" spans="1:11" x14ac:dyDescent="0.25">
      <c r="A732" t="s">
        <v>45</v>
      </c>
      <c r="B732" t="s">
        <v>46</v>
      </c>
      <c r="C732" t="s">
        <v>51</v>
      </c>
      <c r="D732" t="s">
        <v>52</v>
      </c>
      <c r="E732">
        <v>2023</v>
      </c>
      <c r="F732" t="s">
        <v>92</v>
      </c>
      <c r="G732" t="s">
        <v>93</v>
      </c>
      <c r="H732" s="2"/>
      <c r="J732" t="s">
        <v>67</v>
      </c>
      <c r="K732" t="s">
        <v>68</v>
      </c>
    </row>
    <row r="733" spans="1:11" x14ac:dyDescent="0.25">
      <c r="A733" t="s">
        <v>45</v>
      </c>
      <c r="B733" t="s">
        <v>46</v>
      </c>
      <c r="C733" t="s">
        <v>51</v>
      </c>
      <c r="D733" t="s">
        <v>52</v>
      </c>
      <c r="E733">
        <v>2024</v>
      </c>
      <c r="F733" t="s">
        <v>92</v>
      </c>
      <c r="G733" t="s">
        <v>93</v>
      </c>
      <c r="H733" s="2"/>
      <c r="J733" t="s">
        <v>67</v>
      </c>
      <c r="K733" t="s">
        <v>68</v>
      </c>
    </row>
    <row r="734" spans="1:11" x14ac:dyDescent="0.25">
      <c r="A734" t="s">
        <v>45</v>
      </c>
      <c r="B734" t="s">
        <v>46</v>
      </c>
      <c r="C734" t="s">
        <v>53</v>
      </c>
      <c r="D734" t="s">
        <v>54</v>
      </c>
      <c r="E734">
        <v>2019</v>
      </c>
      <c r="F734" t="s">
        <v>92</v>
      </c>
      <c r="G734" t="s">
        <v>93</v>
      </c>
      <c r="J734" t="s">
        <v>67</v>
      </c>
      <c r="K734" t="s">
        <v>68</v>
      </c>
    </row>
    <row r="735" spans="1:11" x14ac:dyDescent="0.25">
      <c r="A735" t="s">
        <v>45</v>
      </c>
      <c r="B735" t="s">
        <v>46</v>
      </c>
      <c r="C735" t="s">
        <v>53</v>
      </c>
      <c r="D735" t="s">
        <v>54</v>
      </c>
      <c r="E735">
        <v>2020</v>
      </c>
      <c r="F735" t="s">
        <v>92</v>
      </c>
      <c r="G735" t="s">
        <v>93</v>
      </c>
      <c r="J735" t="s">
        <v>67</v>
      </c>
      <c r="K735" t="s">
        <v>68</v>
      </c>
    </row>
    <row r="736" spans="1:11" x14ac:dyDescent="0.25">
      <c r="A736" t="s">
        <v>45</v>
      </c>
      <c r="B736" t="s">
        <v>46</v>
      </c>
      <c r="C736" t="s">
        <v>53</v>
      </c>
      <c r="D736" t="s">
        <v>54</v>
      </c>
      <c r="E736">
        <v>2021</v>
      </c>
      <c r="F736" t="s">
        <v>92</v>
      </c>
      <c r="G736" t="s">
        <v>93</v>
      </c>
      <c r="J736" t="s">
        <v>67</v>
      </c>
      <c r="K736" t="s">
        <v>68</v>
      </c>
    </row>
    <row r="737" spans="1:11" x14ac:dyDescent="0.25">
      <c r="A737" t="s">
        <v>45</v>
      </c>
      <c r="B737" t="s">
        <v>46</v>
      </c>
      <c r="C737" t="s">
        <v>53</v>
      </c>
      <c r="D737" t="s">
        <v>54</v>
      </c>
      <c r="E737">
        <v>2022</v>
      </c>
      <c r="F737" t="s">
        <v>92</v>
      </c>
      <c r="G737" t="s">
        <v>93</v>
      </c>
      <c r="J737" t="s">
        <v>67</v>
      </c>
      <c r="K737" t="s">
        <v>68</v>
      </c>
    </row>
    <row r="738" spans="1:11" x14ac:dyDescent="0.25">
      <c r="A738" t="s">
        <v>45</v>
      </c>
      <c r="B738" t="s">
        <v>46</v>
      </c>
      <c r="C738" t="s">
        <v>53</v>
      </c>
      <c r="D738" t="s">
        <v>54</v>
      </c>
      <c r="E738">
        <v>2023</v>
      </c>
      <c r="F738" t="s">
        <v>92</v>
      </c>
      <c r="G738" t="s">
        <v>93</v>
      </c>
      <c r="J738" t="s">
        <v>67</v>
      </c>
      <c r="K738" t="s">
        <v>68</v>
      </c>
    </row>
    <row r="739" spans="1:11" x14ac:dyDescent="0.25">
      <c r="A739" t="s">
        <v>45</v>
      </c>
      <c r="B739" t="s">
        <v>46</v>
      </c>
      <c r="C739" t="s">
        <v>53</v>
      </c>
      <c r="D739" t="s">
        <v>54</v>
      </c>
      <c r="E739">
        <v>2024</v>
      </c>
      <c r="F739" t="s">
        <v>92</v>
      </c>
      <c r="G739" t="s">
        <v>93</v>
      </c>
      <c r="J739" t="s">
        <v>67</v>
      </c>
      <c r="K739" t="s">
        <v>68</v>
      </c>
    </row>
    <row r="740" spans="1:11" x14ac:dyDescent="0.25">
      <c r="A740" t="s">
        <v>45</v>
      </c>
      <c r="B740" t="s">
        <v>46</v>
      </c>
      <c r="C740" t="s">
        <v>7</v>
      </c>
      <c r="D740" t="s">
        <v>8</v>
      </c>
      <c r="E740">
        <v>2019</v>
      </c>
      <c r="F740" t="s">
        <v>92</v>
      </c>
      <c r="G740" t="s">
        <v>93</v>
      </c>
      <c r="H740" s="3">
        <v>28611.664004334099</v>
      </c>
      <c r="J740" t="s">
        <v>67</v>
      </c>
      <c r="K740" t="s">
        <v>68</v>
      </c>
    </row>
    <row r="741" spans="1:11" x14ac:dyDescent="0.25">
      <c r="A741" t="s">
        <v>45</v>
      </c>
      <c r="B741" t="s">
        <v>46</v>
      </c>
      <c r="C741" t="s">
        <v>7</v>
      </c>
      <c r="D741" t="s">
        <v>8</v>
      </c>
      <c r="E741">
        <v>2020</v>
      </c>
      <c r="F741" t="s">
        <v>92</v>
      </c>
      <c r="G741" t="s">
        <v>93</v>
      </c>
      <c r="H741" s="3">
        <v>41025.897935641202</v>
      </c>
      <c r="I741">
        <f>_FIIPer1000[[#This Row],[No.Per1000Adults]]-H740</f>
        <v>12414.233931307102</v>
      </c>
      <c r="J741" t="s">
        <v>67</v>
      </c>
      <c r="K741" t="s">
        <v>68</v>
      </c>
    </row>
    <row r="742" spans="1:11" x14ac:dyDescent="0.25">
      <c r="A742" t="s">
        <v>45</v>
      </c>
      <c r="B742" t="s">
        <v>46</v>
      </c>
      <c r="C742" t="s">
        <v>7</v>
      </c>
      <c r="D742" t="s">
        <v>8</v>
      </c>
      <c r="E742">
        <v>2021</v>
      </c>
      <c r="F742" t="s">
        <v>92</v>
      </c>
      <c r="G742" t="s">
        <v>93</v>
      </c>
      <c r="H742" s="3">
        <v>62157.974589226302</v>
      </c>
      <c r="I742">
        <f>_FIIPer1000[[#This Row],[No.Per1000Adults]]-H741</f>
        <v>21132.0766535851</v>
      </c>
      <c r="J742" t="s">
        <v>67</v>
      </c>
      <c r="K742" t="s">
        <v>68</v>
      </c>
    </row>
    <row r="743" spans="1:11" x14ac:dyDescent="0.25">
      <c r="A743" t="s">
        <v>45</v>
      </c>
      <c r="B743" t="s">
        <v>46</v>
      </c>
      <c r="C743" t="s">
        <v>7</v>
      </c>
      <c r="D743" t="s">
        <v>8</v>
      </c>
      <c r="E743">
        <v>2022</v>
      </c>
      <c r="F743" t="s">
        <v>92</v>
      </c>
      <c r="G743" t="s">
        <v>93</v>
      </c>
      <c r="H743" s="3">
        <v>88755.838910108607</v>
      </c>
      <c r="I743">
        <f>_FIIPer1000[[#This Row],[No.Per1000Adults]]-H742</f>
        <v>26597.864320882305</v>
      </c>
      <c r="J743" t="s">
        <v>67</v>
      </c>
      <c r="K743" t="s">
        <v>68</v>
      </c>
    </row>
    <row r="744" spans="1:11" x14ac:dyDescent="0.25">
      <c r="A744" t="s">
        <v>45</v>
      </c>
      <c r="B744" t="s">
        <v>46</v>
      </c>
      <c r="C744" t="s">
        <v>7</v>
      </c>
      <c r="D744" t="s">
        <v>8</v>
      </c>
      <c r="E744">
        <v>2023</v>
      </c>
      <c r="F744" t="s">
        <v>92</v>
      </c>
      <c r="G744" t="s">
        <v>93</v>
      </c>
      <c r="H744" s="3">
        <v>95684.311031726495</v>
      </c>
      <c r="I744">
        <f>_FIIPer1000[[#This Row],[No.Per1000Adults]]-H743</f>
        <v>6928.4721216178878</v>
      </c>
      <c r="J744" t="s">
        <v>67</v>
      </c>
      <c r="K744" t="s">
        <v>68</v>
      </c>
    </row>
    <row r="745" spans="1:11" x14ac:dyDescent="0.25">
      <c r="A745" t="s">
        <v>45</v>
      </c>
      <c r="B745" t="s">
        <v>46</v>
      </c>
      <c r="C745" t="s">
        <v>7</v>
      </c>
      <c r="D745" t="s">
        <v>8</v>
      </c>
      <c r="E745">
        <v>2024</v>
      </c>
      <c r="F745" t="s">
        <v>92</v>
      </c>
      <c r="G745" t="s">
        <v>93</v>
      </c>
      <c r="H745" s="3">
        <v>104483.051959869</v>
      </c>
      <c r="I745">
        <f>_FIIPer1000[[#This Row],[No.Per1000Adults]]-H744</f>
        <v>8798.7409281425062</v>
      </c>
      <c r="J745" t="s">
        <v>67</v>
      </c>
      <c r="K745" t="s">
        <v>68</v>
      </c>
    </row>
    <row r="746" spans="1:11" x14ac:dyDescent="0.25">
      <c r="A746" t="s">
        <v>45</v>
      </c>
      <c r="B746" t="s">
        <v>46</v>
      </c>
      <c r="C746" t="s">
        <v>55</v>
      </c>
      <c r="D746" t="s">
        <v>56</v>
      </c>
      <c r="E746">
        <v>2019</v>
      </c>
      <c r="F746" t="s">
        <v>92</v>
      </c>
      <c r="G746" t="s">
        <v>93</v>
      </c>
      <c r="J746" t="s">
        <v>67</v>
      </c>
      <c r="K746" t="s">
        <v>68</v>
      </c>
    </row>
    <row r="747" spans="1:11" x14ac:dyDescent="0.25">
      <c r="A747" t="s">
        <v>45</v>
      </c>
      <c r="B747" t="s">
        <v>46</v>
      </c>
      <c r="C747" t="s">
        <v>55</v>
      </c>
      <c r="D747" t="s">
        <v>56</v>
      </c>
      <c r="E747">
        <v>2020</v>
      </c>
      <c r="F747" t="s">
        <v>92</v>
      </c>
      <c r="G747" t="s">
        <v>93</v>
      </c>
      <c r="J747" t="s">
        <v>67</v>
      </c>
      <c r="K747" t="s">
        <v>68</v>
      </c>
    </row>
    <row r="748" spans="1:11" x14ac:dyDescent="0.25">
      <c r="A748" t="s">
        <v>45</v>
      </c>
      <c r="B748" t="s">
        <v>46</v>
      </c>
      <c r="C748" t="s">
        <v>55</v>
      </c>
      <c r="D748" t="s">
        <v>56</v>
      </c>
      <c r="E748">
        <v>2021</v>
      </c>
      <c r="F748" t="s">
        <v>92</v>
      </c>
      <c r="G748" t="s">
        <v>93</v>
      </c>
      <c r="J748" t="s">
        <v>67</v>
      </c>
      <c r="K748" t="s">
        <v>68</v>
      </c>
    </row>
    <row r="749" spans="1:11" x14ac:dyDescent="0.25">
      <c r="A749" t="s">
        <v>45</v>
      </c>
      <c r="B749" t="s">
        <v>46</v>
      </c>
      <c r="C749" t="s">
        <v>55</v>
      </c>
      <c r="D749" t="s">
        <v>56</v>
      </c>
      <c r="E749">
        <v>2022</v>
      </c>
      <c r="F749" t="s">
        <v>92</v>
      </c>
      <c r="G749" t="s">
        <v>93</v>
      </c>
      <c r="J749" t="s">
        <v>67</v>
      </c>
      <c r="K749" t="s">
        <v>68</v>
      </c>
    </row>
    <row r="750" spans="1:11" x14ac:dyDescent="0.25">
      <c r="A750" t="s">
        <v>45</v>
      </c>
      <c r="B750" t="s">
        <v>46</v>
      </c>
      <c r="C750" t="s">
        <v>55</v>
      </c>
      <c r="D750" t="s">
        <v>56</v>
      </c>
      <c r="E750">
        <v>2023</v>
      </c>
      <c r="F750" t="s">
        <v>92</v>
      </c>
      <c r="G750" t="s">
        <v>93</v>
      </c>
      <c r="J750" t="s">
        <v>67</v>
      </c>
      <c r="K750" t="s">
        <v>68</v>
      </c>
    </row>
    <row r="751" spans="1:11" x14ac:dyDescent="0.25">
      <c r="A751" t="s">
        <v>45</v>
      </c>
      <c r="B751" t="s">
        <v>46</v>
      </c>
      <c r="C751" t="s">
        <v>55</v>
      </c>
      <c r="D751" t="s">
        <v>56</v>
      </c>
      <c r="E751">
        <v>2024</v>
      </c>
      <c r="F751" t="s">
        <v>92</v>
      </c>
      <c r="G751" t="s">
        <v>93</v>
      </c>
      <c r="J751" t="s">
        <v>67</v>
      </c>
      <c r="K751" t="s">
        <v>68</v>
      </c>
    </row>
    <row r="752" spans="1:11" hidden="1" x14ac:dyDescent="0.25">
      <c r="A752" t="s">
        <v>81</v>
      </c>
      <c r="B752" t="s">
        <v>82</v>
      </c>
      <c r="C752" t="s">
        <v>9</v>
      </c>
      <c r="D752" t="s">
        <v>10</v>
      </c>
      <c r="E752">
        <v>2019</v>
      </c>
      <c r="F752" t="s">
        <v>83</v>
      </c>
      <c r="G752" t="s">
        <v>85</v>
      </c>
      <c r="H752">
        <v>381.95806314023099</v>
      </c>
      <c r="I752" s="9"/>
      <c r="J752" t="s">
        <v>67</v>
      </c>
      <c r="K752" t="s">
        <v>68</v>
      </c>
    </row>
    <row r="753" spans="1:11" hidden="1" x14ac:dyDescent="0.25">
      <c r="A753" t="s">
        <v>81</v>
      </c>
      <c r="B753" t="s">
        <v>82</v>
      </c>
      <c r="C753" t="s">
        <v>9</v>
      </c>
      <c r="D753" t="s">
        <v>10</v>
      </c>
      <c r="E753">
        <v>2020</v>
      </c>
      <c r="F753" t="s">
        <v>83</v>
      </c>
      <c r="G753" t="s">
        <v>85</v>
      </c>
      <c r="H753">
        <v>369.492150659998</v>
      </c>
      <c r="I753" s="9">
        <v>-12.465912480232987</v>
      </c>
      <c r="J753" t="s">
        <v>67</v>
      </c>
      <c r="K753" t="s">
        <v>68</v>
      </c>
    </row>
    <row r="754" spans="1:11" hidden="1" x14ac:dyDescent="0.25">
      <c r="A754" t="s">
        <v>81</v>
      </c>
      <c r="B754" t="s">
        <v>82</v>
      </c>
      <c r="C754" t="s">
        <v>9</v>
      </c>
      <c r="D754" t="s">
        <v>10</v>
      </c>
      <c r="E754">
        <v>2021</v>
      </c>
      <c r="F754" t="s">
        <v>83</v>
      </c>
      <c r="G754" t="s">
        <v>85</v>
      </c>
      <c r="H754">
        <v>366.819612379592</v>
      </c>
      <c r="I754" s="9">
        <v>-2.6725382804060018</v>
      </c>
      <c r="J754" t="s">
        <v>67</v>
      </c>
      <c r="K754" t="s">
        <v>68</v>
      </c>
    </row>
    <row r="755" spans="1:11" hidden="1" x14ac:dyDescent="0.25">
      <c r="A755" t="s">
        <v>81</v>
      </c>
      <c r="B755" t="s">
        <v>82</v>
      </c>
      <c r="C755" t="s">
        <v>9</v>
      </c>
      <c r="D755" t="s">
        <v>10</v>
      </c>
      <c r="E755">
        <v>2022</v>
      </c>
      <c r="F755" t="s">
        <v>83</v>
      </c>
      <c r="G755" t="s">
        <v>85</v>
      </c>
      <c r="H755">
        <v>391.15811413819301</v>
      </c>
      <c r="I755" s="9">
        <v>24.338501758601012</v>
      </c>
      <c r="J755" t="s">
        <v>67</v>
      </c>
      <c r="K755" t="s">
        <v>68</v>
      </c>
    </row>
    <row r="756" spans="1:11" hidden="1" x14ac:dyDescent="0.25">
      <c r="A756" t="s">
        <v>81</v>
      </c>
      <c r="B756" t="s">
        <v>82</v>
      </c>
      <c r="C756" t="s">
        <v>9</v>
      </c>
      <c r="D756" t="s">
        <v>10</v>
      </c>
      <c r="E756">
        <v>2023</v>
      </c>
      <c r="F756" t="s">
        <v>83</v>
      </c>
      <c r="G756" t="s">
        <v>85</v>
      </c>
      <c r="H756">
        <v>401.58913979153698</v>
      </c>
      <c r="I756" s="9">
        <v>10.431025653343966</v>
      </c>
      <c r="J756" t="s">
        <v>67</v>
      </c>
      <c r="K756" t="s">
        <v>68</v>
      </c>
    </row>
    <row r="757" spans="1:11" hidden="1" x14ac:dyDescent="0.25">
      <c r="A757" t="s">
        <v>81</v>
      </c>
      <c r="B757" t="s">
        <v>82</v>
      </c>
      <c r="C757" t="s">
        <v>9</v>
      </c>
      <c r="D757" t="s">
        <v>10</v>
      </c>
      <c r="E757">
        <v>2024</v>
      </c>
      <c r="F757" t="s">
        <v>83</v>
      </c>
      <c r="G757" t="s">
        <v>85</v>
      </c>
      <c r="H757">
        <v>389.59034934915599</v>
      </c>
      <c r="I757" s="9">
        <v>-11.998790442380994</v>
      </c>
      <c r="J757" t="s">
        <v>67</v>
      </c>
      <c r="K757" t="s">
        <v>68</v>
      </c>
    </row>
    <row r="758" spans="1:11" hidden="1" x14ac:dyDescent="0.25">
      <c r="A758" t="s">
        <v>81</v>
      </c>
      <c r="B758" t="s">
        <v>82</v>
      </c>
      <c r="C758" t="s">
        <v>11</v>
      </c>
      <c r="D758" t="s">
        <v>12</v>
      </c>
      <c r="E758">
        <v>2019</v>
      </c>
      <c r="F758" t="s">
        <v>83</v>
      </c>
      <c r="G758" t="s">
        <v>85</v>
      </c>
      <c r="I758" s="9"/>
      <c r="J758" t="s">
        <v>67</v>
      </c>
      <c r="K758" t="s">
        <v>68</v>
      </c>
    </row>
    <row r="759" spans="1:11" hidden="1" x14ac:dyDescent="0.25">
      <c r="A759" t="s">
        <v>81</v>
      </c>
      <c r="B759" t="s">
        <v>82</v>
      </c>
      <c r="C759" t="s">
        <v>11</v>
      </c>
      <c r="D759" t="s">
        <v>12</v>
      </c>
      <c r="E759">
        <v>2020</v>
      </c>
      <c r="F759" t="s">
        <v>83</v>
      </c>
      <c r="G759" t="s">
        <v>85</v>
      </c>
      <c r="I759" s="9"/>
      <c r="J759" t="s">
        <v>67</v>
      </c>
      <c r="K759" t="s">
        <v>68</v>
      </c>
    </row>
    <row r="760" spans="1:11" hidden="1" x14ac:dyDescent="0.25">
      <c r="A760" t="s">
        <v>81</v>
      </c>
      <c r="B760" t="s">
        <v>82</v>
      </c>
      <c r="C760" t="s">
        <v>11</v>
      </c>
      <c r="D760" t="s">
        <v>12</v>
      </c>
      <c r="E760">
        <v>2021</v>
      </c>
      <c r="F760" t="s">
        <v>83</v>
      </c>
      <c r="G760" t="s">
        <v>85</v>
      </c>
      <c r="I760" s="9"/>
      <c r="J760" t="s">
        <v>67</v>
      </c>
      <c r="K760" t="s">
        <v>68</v>
      </c>
    </row>
    <row r="761" spans="1:11" hidden="1" x14ac:dyDescent="0.25">
      <c r="A761" t="s">
        <v>81</v>
      </c>
      <c r="B761" t="s">
        <v>82</v>
      </c>
      <c r="C761" t="s">
        <v>11</v>
      </c>
      <c r="D761" t="s">
        <v>12</v>
      </c>
      <c r="E761">
        <v>2022</v>
      </c>
      <c r="F761" t="s">
        <v>83</v>
      </c>
      <c r="G761" t="s">
        <v>85</v>
      </c>
      <c r="I761" s="9"/>
      <c r="J761" t="s">
        <v>67</v>
      </c>
      <c r="K761" t="s">
        <v>68</v>
      </c>
    </row>
    <row r="762" spans="1:11" hidden="1" x14ac:dyDescent="0.25">
      <c r="A762" t="s">
        <v>81</v>
      </c>
      <c r="B762" t="s">
        <v>82</v>
      </c>
      <c r="C762" t="s">
        <v>11</v>
      </c>
      <c r="D762" t="s">
        <v>12</v>
      </c>
      <c r="E762">
        <v>2023</v>
      </c>
      <c r="F762" t="s">
        <v>83</v>
      </c>
      <c r="G762" t="s">
        <v>85</v>
      </c>
      <c r="I762" s="9"/>
      <c r="J762" t="s">
        <v>67</v>
      </c>
      <c r="K762" t="s">
        <v>68</v>
      </c>
    </row>
    <row r="763" spans="1:11" hidden="1" x14ac:dyDescent="0.25">
      <c r="A763" t="s">
        <v>81</v>
      </c>
      <c r="B763" t="s">
        <v>82</v>
      </c>
      <c r="C763" t="s">
        <v>11</v>
      </c>
      <c r="D763" t="s">
        <v>12</v>
      </c>
      <c r="E763">
        <v>2024</v>
      </c>
      <c r="F763" t="s">
        <v>83</v>
      </c>
      <c r="G763" t="s">
        <v>85</v>
      </c>
      <c r="I763" s="9"/>
      <c r="J763" t="s">
        <v>67</v>
      </c>
      <c r="K763" t="s">
        <v>68</v>
      </c>
    </row>
    <row r="764" spans="1:11" hidden="1" x14ac:dyDescent="0.25">
      <c r="A764" t="s">
        <v>81</v>
      </c>
      <c r="B764" t="s">
        <v>82</v>
      </c>
      <c r="C764" t="s">
        <v>47</v>
      </c>
      <c r="D764" t="s">
        <v>48</v>
      </c>
      <c r="E764">
        <v>2019</v>
      </c>
      <c r="F764" t="s">
        <v>83</v>
      </c>
      <c r="G764" t="s">
        <v>85</v>
      </c>
      <c r="I764" s="9">
        <f>_FIIPer1000[[#This Row],[No.Per1000Adults]]-H763</f>
        <v>0</v>
      </c>
      <c r="J764" t="s">
        <v>67</v>
      </c>
      <c r="K764" t="s">
        <v>68</v>
      </c>
    </row>
    <row r="765" spans="1:11" hidden="1" x14ac:dyDescent="0.25">
      <c r="A765" t="s">
        <v>81</v>
      </c>
      <c r="B765" t="s">
        <v>82</v>
      </c>
      <c r="C765" t="s">
        <v>47</v>
      </c>
      <c r="D765" t="s">
        <v>48</v>
      </c>
      <c r="E765">
        <v>2020</v>
      </c>
      <c r="F765" t="s">
        <v>83</v>
      </c>
      <c r="G765" t="s">
        <v>85</v>
      </c>
      <c r="I765" s="9">
        <f>_FIIPer1000[[#This Row],[No.Per1000Adults]]-H764</f>
        <v>0</v>
      </c>
      <c r="J765" t="s">
        <v>67</v>
      </c>
      <c r="K765" t="s">
        <v>68</v>
      </c>
    </row>
    <row r="766" spans="1:11" hidden="1" x14ac:dyDescent="0.25">
      <c r="A766" t="s">
        <v>81</v>
      </c>
      <c r="B766" t="s">
        <v>82</v>
      </c>
      <c r="C766" t="s">
        <v>47</v>
      </c>
      <c r="D766" t="s">
        <v>48</v>
      </c>
      <c r="E766">
        <v>2021</v>
      </c>
      <c r="F766" t="s">
        <v>83</v>
      </c>
      <c r="G766" t="s">
        <v>85</v>
      </c>
      <c r="I766" s="9">
        <f>_FIIPer1000[[#This Row],[No.Per1000Adults]]-H765</f>
        <v>0</v>
      </c>
      <c r="J766" t="s">
        <v>67</v>
      </c>
      <c r="K766" t="s">
        <v>68</v>
      </c>
    </row>
    <row r="767" spans="1:11" hidden="1" x14ac:dyDescent="0.25">
      <c r="A767" t="s">
        <v>81</v>
      </c>
      <c r="B767" t="s">
        <v>82</v>
      </c>
      <c r="C767" t="s">
        <v>47</v>
      </c>
      <c r="D767" t="s">
        <v>48</v>
      </c>
      <c r="E767">
        <v>2022</v>
      </c>
      <c r="F767" t="s">
        <v>83</v>
      </c>
      <c r="G767" t="s">
        <v>85</v>
      </c>
      <c r="I767" s="9">
        <f>_FIIPer1000[[#This Row],[No.Per1000Adults]]-H766</f>
        <v>0</v>
      </c>
      <c r="J767" t="s">
        <v>67</v>
      </c>
      <c r="K767" t="s">
        <v>68</v>
      </c>
    </row>
    <row r="768" spans="1:11" hidden="1" x14ac:dyDescent="0.25">
      <c r="A768" t="s">
        <v>81</v>
      </c>
      <c r="B768" t="s">
        <v>82</v>
      </c>
      <c r="C768" t="s">
        <v>47</v>
      </c>
      <c r="D768" t="s">
        <v>48</v>
      </c>
      <c r="E768">
        <v>2023</v>
      </c>
      <c r="F768" t="s">
        <v>83</v>
      </c>
      <c r="G768" t="s">
        <v>85</v>
      </c>
      <c r="I768" s="9">
        <f>_FIIPer1000[[#This Row],[No.Per1000Adults]]-H767</f>
        <v>0</v>
      </c>
      <c r="J768" t="s">
        <v>67</v>
      </c>
      <c r="K768" t="s">
        <v>68</v>
      </c>
    </row>
    <row r="769" spans="1:11" hidden="1" x14ac:dyDescent="0.25">
      <c r="A769" t="s">
        <v>81</v>
      </c>
      <c r="B769" t="s">
        <v>82</v>
      </c>
      <c r="C769" t="s">
        <v>47</v>
      </c>
      <c r="D769" t="s">
        <v>48</v>
      </c>
      <c r="E769">
        <v>2024</v>
      </c>
      <c r="F769" t="s">
        <v>83</v>
      </c>
      <c r="G769" t="s">
        <v>85</v>
      </c>
      <c r="I769" s="9">
        <f>_FIIPer1000[[#This Row],[No.Per1000Adults]]-H768</f>
        <v>0</v>
      </c>
      <c r="J769" t="s">
        <v>67</v>
      </c>
      <c r="K769" t="s">
        <v>68</v>
      </c>
    </row>
    <row r="770" spans="1:11" hidden="1" x14ac:dyDescent="0.25">
      <c r="A770" t="s">
        <v>81</v>
      </c>
      <c r="B770" t="s">
        <v>82</v>
      </c>
      <c r="C770" t="s">
        <v>13</v>
      </c>
      <c r="D770" t="s">
        <v>14</v>
      </c>
      <c r="E770">
        <v>2019</v>
      </c>
      <c r="F770" t="s">
        <v>83</v>
      </c>
      <c r="G770" t="s">
        <v>85</v>
      </c>
      <c r="H770">
        <v>667.56212264387796</v>
      </c>
      <c r="I770" s="9"/>
      <c r="J770" t="s">
        <v>67</v>
      </c>
      <c r="K770" t="s">
        <v>68</v>
      </c>
    </row>
    <row r="771" spans="1:11" hidden="1" x14ac:dyDescent="0.25">
      <c r="A771" t="s">
        <v>81</v>
      </c>
      <c r="B771" t="s">
        <v>82</v>
      </c>
      <c r="C771" t="s">
        <v>13</v>
      </c>
      <c r="D771" t="s">
        <v>14</v>
      </c>
      <c r="E771">
        <v>2020</v>
      </c>
      <c r="F771" t="s">
        <v>83</v>
      </c>
      <c r="G771" t="s">
        <v>85</v>
      </c>
      <c r="H771">
        <v>678.45248070054402</v>
      </c>
      <c r="I771" s="9">
        <v>10.890358056666059</v>
      </c>
      <c r="J771" t="s">
        <v>67</v>
      </c>
      <c r="K771" t="s">
        <v>68</v>
      </c>
    </row>
    <row r="772" spans="1:11" hidden="1" x14ac:dyDescent="0.25">
      <c r="A772" t="s">
        <v>81</v>
      </c>
      <c r="B772" t="s">
        <v>82</v>
      </c>
      <c r="C772" t="s">
        <v>13</v>
      </c>
      <c r="D772" t="s">
        <v>14</v>
      </c>
      <c r="E772">
        <v>2021</v>
      </c>
      <c r="F772" t="s">
        <v>83</v>
      </c>
      <c r="G772" t="s">
        <v>85</v>
      </c>
      <c r="H772">
        <v>716.41398068678996</v>
      </c>
      <c r="I772" s="9">
        <v>37.96149998624594</v>
      </c>
      <c r="J772" t="s">
        <v>67</v>
      </c>
      <c r="K772" t="s">
        <v>68</v>
      </c>
    </row>
    <row r="773" spans="1:11" hidden="1" x14ac:dyDescent="0.25">
      <c r="A773" t="s">
        <v>81</v>
      </c>
      <c r="B773" t="s">
        <v>82</v>
      </c>
      <c r="C773" t="s">
        <v>13</v>
      </c>
      <c r="D773" t="s">
        <v>14</v>
      </c>
      <c r="E773">
        <v>2022</v>
      </c>
      <c r="F773" t="s">
        <v>83</v>
      </c>
      <c r="G773" t="s">
        <v>85</v>
      </c>
      <c r="H773">
        <v>749.09714800880602</v>
      </c>
      <c r="I773" s="9">
        <v>32.683167322016061</v>
      </c>
      <c r="J773" t="s">
        <v>67</v>
      </c>
      <c r="K773" t="s">
        <v>68</v>
      </c>
    </row>
    <row r="774" spans="1:11" hidden="1" x14ac:dyDescent="0.25">
      <c r="A774" t="s">
        <v>81</v>
      </c>
      <c r="B774" t="s">
        <v>82</v>
      </c>
      <c r="C774" t="s">
        <v>13</v>
      </c>
      <c r="D774" t="s">
        <v>14</v>
      </c>
      <c r="E774">
        <v>2023</v>
      </c>
      <c r="F774" t="s">
        <v>83</v>
      </c>
      <c r="G774" t="s">
        <v>85</v>
      </c>
      <c r="H774">
        <v>753.83159656231601</v>
      </c>
      <c r="I774" s="9">
        <v>4.7344485535099921</v>
      </c>
      <c r="J774" t="s">
        <v>67</v>
      </c>
      <c r="K774" t="s">
        <v>68</v>
      </c>
    </row>
    <row r="775" spans="1:11" hidden="1" x14ac:dyDescent="0.25">
      <c r="A775" t="s">
        <v>81</v>
      </c>
      <c r="B775" t="s">
        <v>82</v>
      </c>
      <c r="C775" t="s">
        <v>13</v>
      </c>
      <c r="D775" t="s">
        <v>14</v>
      </c>
      <c r="E775">
        <v>2024</v>
      </c>
      <c r="F775" t="s">
        <v>83</v>
      </c>
      <c r="G775" t="s">
        <v>85</v>
      </c>
      <c r="H775">
        <v>767.59795057390795</v>
      </c>
      <c r="I775" s="9">
        <v>13.766354011591943</v>
      </c>
      <c r="J775" t="s">
        <v>67</v>
      </c>
      <c r="K775" t="s">
        <v>68</v>
      </c>
    </row>
    <row r="776" spans="1:11" hidden="1" x14ac:dyDescent="0.25">
      <c r="A776" t="s">
        <v>81</v>
      </c>
      <c r="B776" t="s">
        <v>82</v>
      </c>
      <c r="C776" t="s">
        <v>15</v>
      </c>
      <c r="D776" t="s">
        <v>16</v>
      </c>
      <c r="E776">
        <v>2019</v>
      </c>
      <c r="F776" t="s">
        <v>83</v>
      </c>
      <c r="G776" t="s">
        <v>85</v>
      </c>
      <c r="I776" s="9"/>
      <c r="J776" t="s">
        <v>67</v>
      </c>
      <c r="K776" t="s">
        <v>68</v>
      </c>
    </row>
    <row r="777" spans="1:11" hidden="1" x14ac:dyDescent="0.25">
      <c r="A777" t="s">
        <v>81</v>
      </c>
      <c r="B777" t="s">
        <v>82</v>
      </c>
      <c r="C777" t="s">
        <v>15</v>
      </c>
      <c r="D777" t="s">
        <v>16</v>
      </c>
      <c r="E777">
        <v>2020</v>
      </c>
      <c r="F777" t="s">
        <v>83</v>
      </c>
      <c r="G777" t="s">
        <v>85</v>
      </c>
      <c r="I777" s="9"/>
      <c r="J777" t="s">
        <v>67</v>
      </c>
      <c r="K777" t="s">
        <v>68</v>
      </c>
    </row>
    <row r="778" spans="1:11" hidden="1" x14ac:dyDescent="0.25">
      <c r="A778" t="s">
        <v>81</v>
      </c>
      <c r="B778" t="s">
        <v>82</v>
      </c>
      <c r="C778" t="s">
        <v>15</v>
      </c>
      <c r="D778" t="s">
        <v>16</v>
      </c>
      <c r="E778">
        <v>2021</v>
      </c>
      <c r="F778" t="s">
        <v>83</v>
      </c>
      <c r="G778" t="s">
        <v>85</v>
      </c>
      <c r="I778" s="9"/>
      <c r="J778" t="s">
        <v>67</v>
      </c>
      <c r="K778" t="s">
        <v>68</v>
      </c>
    </row>
    <row r="779" spans="1:11" hidden="1" x14ac:dyDescent="0.25">
      <c r="A779" t="s">
        <v>81</v>
      </c>
      <c r="B779" t="s">
        <v>82</v>
      </c>
      <c r="C779" t="s">
        <v>15</v>
      </c>
      <c r="D779" t="s">
        <v>16</v>
      </c>
      <c r="E779">
        <v>2022</v>
      </c>
      <c r="F779" t="s">
        <v>83</v>
      </c>
      <c r="G779" t="s">
        <v>85</v>
      </c>
      <c r="I779" s="9"/>
      <c r="J779" t="s">
        <v>67</v>
      </c>
      <c r="K779" t="s">
        <v>68</v>
      </c>
    </row>
    <row r="780" spans="1:11" hidden="1" x14ac:dyDescent="0.25">
      <c r="A780" t="s">
        <v>81</v>
      </c>
      <c r="B780" t="s">
        <v>82</v>
      </c>
      <c r="C780" t="s">
        <v>15</v>
      </c>
      <c r="D780" t="s">
        <v>16</v>
      </c>
      <c r="E780">
        <v>2023</v>
      </c>
      <c r="F780" t="s">
        <v>83</v>
      </c>
      <c r="G780" t="s">
        <v>85</v>
      </c>
      <c r="I780" s="9"/>
      <c r="J780" t="s">
        <v>67</v>
      </c>
      <c r="K780" t="s">
        <v>68</v>
      </c>
    </row>
    <row r="781" spans="1:11" hidden="1" x14ac:dyDescent="0.25">
      <c r="A781" t="s">
        <v>81</v>
      </c>
      <c r="B781" t="s">
        <v>82</v>
      </c>
      <c r="C781" t="s">
        <v>15</v>
      </c>
      <c r="D781" t="s">
        <v>16</v>
      </c>
      <c r="E781">
        <v>2024</v>
      </c>
      <c r="F781" t="s">
        <v>83</v>
      </c>
      <c r="G781" t="s">
        <v>85</v>
      </c>
      <c r="I781" s="9"/>
      <c r="J781" t="s">
        <v>67</v>
      </c>
      <c r="K781" t="s">
        <v>68</v>
      </c>
    </row>
    <row r="782" spans="1:11" hidden="1" x14ac:dyDescent="0.25">
      <c r="A782" t="s">
        <v>81</v>
      </c>
      <c r="B782" t="s">
        <v>82</v>
      </c>
      <c r="C782" t="s">
        <v>17</v>
      </c>
      <c r="D782" t="s">
        <v>18</v>
      </c>
      <c r="E782">
        <v>2019</v>
      </c>
      <c r="F782" t="s">
        <v>83</v>
      </c>
      <c r="G782" t="s">
        <v>85</v>
      </c>
      <c r="H782">
        <v>503.71543976328002</v>
      </c>
      <c r="I782" s="9"/>
      <c r="J782" t="s">
        <v>67</v>
      </c>
      <c r="K782" t="s">
        <v>68</v>
      </c>
    </row>
    <row r="783" spans="1:11" hidden="1" x14ac:dyDescent="0.25">
      <c r="A783" t="s">
        <v>81</v>
      </c>
      <c r="B783" t="s">
        <v>82</v>
      </c>
      <c r="C783" t="s">
        <v>17</v>
      </c>
      <c r="D783" t="s">
        <v>18</v>
      </c>
      <c r="E783">
        <v>2020</v>
      </c>
      <c r="F783" t="s">
        <v>83</v>
      </c>
      <c r="G783" t="s">
        <v>85</v>
      </c>
      <c r="H783">
        <v>534.087440261506</v>
      </c>
      <c r="I783" s="9">
        <v>30.372000498225987</v>
      </c>
      <c r="J783" t="s">
        <v>67</v>
      </c>
      <c r="K783" t="s">
        <v>68</v>
      </c>
    </row>
    <row r="784" spans="1:11" hidden="1" x14ac:dyDescent="0.25">
      <c r="A784" t="s">
        <v>81</v>
      </c>
      <c r="B784" t="s">
        <v>82</v>
      </c>
      <c r="C784" t="s">
        <v>17</v>
      </c>
      <c r="D784" t="s">
        <v>18</v>
      </c>
      <c r="E784">
        <v>2021</v>
      </c>
      <c r="F784" t="s">
        <v>83</v>
      </c>
      <c r="G784" t="s">
        <v>85</v>
      </c>
      <c r="H784">
        <v>566.16220790031298</v>
      </c>
      <c r="I784" s="9">
        <v>32.074767638806975</v>
      </c>
      <c r="J784" t="s">
        <v>67</v>
      </c>
      <c r="K784" t="s">
        <v>68</v>
      </c>
    </row>
    <row r="785" spans="1:11" hidden="1" x14ac:dyDescent="0.25">
      <c r="A785" t="s">
        <v>81</v>
      </c>
      <c r="B785" t="s">
        <v>82</v>
      </c>
      <c r="C785" t="s">
        <v>17</v>
      </c>
      <c r="D785" t="s">
        <v>18</v>
      </c>
      <c r="E785">
        <v>2022</v>
      </c>
      <c r="F785" t="s">
        <v>83</v>
      </c>
      <c r="G785" t="s">
        <v>85</v>
      </c>
      <c r="H785">
        <v>607.06505126243496</v>
      </c>
      <c r="I785" s="9">
        <v>40.902843362121985</v>
      </c>
      <c r="J785" t="s">
        <v>67</v>
      </c>
      <c r="K785" t="s">
        <v>68</v>
      </c>
    </row>
    <row r="786" spans="1:11" hidden="1" x14ac:dyDescent="0.25">
      <c r="A786" t="s">
        <v>81</v>
      </c>
      <c r="B786" t="s">
        <v>82</v>
      </c>
      <c r="C786" t="s">
        <v>17</v>
      </c>
      <c r="D786" t="s">
        <v>18</v>
      </c>
      <c r="E786">
        <v>2023</v>
      </c>
      <c r="F786" t="s">
        <v>83</v>
      </c>
      <c r="G786" t="s">
        <v>85</v>
      </c>
      <c r="H786">
        <v>639.19745307252299</v>
      </c>
      <c r="I786" s="9">
        <v>32.132401810088027</v>
      </c>
      <c r="J786" t="s">
        <v>67</v>
      </c>
      <c r="K786" t="s">
        <v>68</v>
      </c>
    </row>
    <row r="787" spans="1:11" hidden="1" x14ac:dyDescent="0.25">
      <c r="A787" t="s">
        <v>81</v>
      </c>
      <c r="B787" t="s">
        <v>82</v>
      </c>
      <c r="C787" t="s">
        <v>17</v>
      </c>
      <c r="D787" t="s">
        <v>18</v>
      </c>
      <c r="E787">
        <v>2024</v>
      </c>
      <c r="F787" t="s">
        <v>83</v>
      </c>
      <c r="G787" t="s">
        <v>85</v>
      </c>
      <c r="H787">
        <v>662.05500291059298</v>
      </c>
      <c r="I787" s="9">
        <v>22.857549838069986</v>
      </c>
      <c r="J787" t="s">
        <v>67</v>
      </c>
      <c r="K787" t="s">
        <v>68</v>
      </c>
    </row>
    <row r="788" spans="1:11" hidden="1" x14ac:dyDescent="0.25">
      <c r="A788" t="s">
        <v>81</v>
      </c>
      <c r="B788" t="s">
        <v>82</v>
      </c>
      <c r="C788" t="s">
        <v>19</v>
      </c>
      <c r="D788" t="s">
        <v>20</v>
      </c>
      <c r="E788">
        <v>2019</v>
      </c>
      <c r="F788" t="s">
        <v>83</v>
      </c>
      <c r="G788" t="s">
        <v>85</v>
      </c>
      <c r="I788" s="9"/>
      <c r="J788" t="s">
        <v>67</v>
      </c>
      <c r="K788" t="s">
        <v>68</v>
      </c>
    </row>
    <row r="789" spans="1:11" hidden="1" x14ac:dyDescent="0.25">
      <c r="A789" t="s">
        <v>81</v>
      </c>
      <c r="B789" t="s">
        <v>82</v>
      </c>
      <c r="C789" t="s">
        <v>19</v>
      </c>
      <c r="D789" t="s">
        <v>20</v>
      </c>
      <c r="E789">
        <v>2020</v>
      </c>
      <c r="F789" t="s">
        <v>83</v>
      </c>
      <c r="G789" t="s">
        <v>85</v>
      </c>
      <c r="I789" s="9"/>
      <c r="J789" t="s">
        <v>67</v>
      </c>
      <c r="K789" t="s">
        <v>68</v>
      </c>
    </row>
    <row r="790" spans="1:11" hidden="1" x14ac:dyDescent="0.25">
      <c r="A790" t="s">
        <v>81</v>
      </c>
      <c r="B790" t="s">
        <v>82</v>
      </c>
      <c r="C790" t="s">
        <v>19</v>
      </c>
      <c r="D790" t="s">
        <v>20</v>
      </c>
      <c r="E790">
        <v>2021</v>
      </c>
      <c r="F790" t="s">
        <v>83</v>
      </c>
      <c r="G790" t="s">
        <v>85</v>
      </c>
      <c r="I790" s="9"/>
      <c r="J790" t="s">
        <v>67</v>
      </c>
      <c r="K790" t="s">
        <v>68</v>
      </c>
    </row>
    <row r="791" spans="1:11" hidden="1" x14ac:dyDescent="0.25">
      <c r="A791" t="s">
        <v>81</v>
      </c>
      <c r="B791" t="s">
        <v>82</v>
      </c>
      <c r="C791" t="s">
        <v>19</v>
      </c>
      <c r="D791" t="s">
        <v>20</v>
      </c>
      <c r="E791">
        <v>2022</v>
      </c>
      <c r="F791" t="s">
        <v>83</v>
      </c>
      <c r="G791" t="s">
        <v>85</v>
      </c>
      <c r="I791" s="9"/>
      <c r="J791" t="s">
        <v>67</v>
      </c>
      <c r="K791" t="s">
        <v>68</v>
      </c>
    </row>
    <row r="792" spans="1:11" hidden="1" x14ac:dyDescent="0.25">
      <c r="A792" t="s">
        <v>81</v>
      </c>
      <c r="B792" t="s">
        <v>82</v>
      </c>
      <c r="C792" t="s">
        <v>19</v>
      </c>
      <c r="D792" t="s">
        <v>20</v>
      </c>
      <c r="E792">
        <v>2023</v>
      </c>
      <c r="F792" t="s">
        <v>83</v>
      </c>
      <c r="G792" t="s">
        <v>85</v>
      </c>
      <c r="I792" s="9"/>
      <c r="J792" t="s">
        <v>67</v>
      </c>
      <c r="K792" t="s">
        <v>68</v>
      </c>
    </row>
    <row r="793" spans="1:11" hidden="1" x14ac:dyDescent="0.25">
      <c r="A793" t="s">
        <v>81</v>
      </c>
      <c r="B793" t="s">
        <v>82</v>
      </c>
      <c r="C793" t="s">
        <v>19</v>
      </c>
      <c r="D793" t="s">
        <v>20</v>
      </c>
      <c r="E793">
        <v>2024</v>
      </c>
      <c r="F793" t="s">
        <v>83</v>
      </c>
      <c r="G793" t="s">
        <v>85</v>
      </c>
      <c r="I793" s="9"/>
      <c r="J793" t="s">
        <v>67</v>
      </c>
      <c r="K793" t="s">
        <v>68</v>
      </c>
    </row>
    <row r="794" spans="1:11" hidden="1" x14ac:dyDescent="0.25">
      <c r="A794" t="s">
        <v>81</v>
      </c>
      <c r="B794" t="s">
        <v>82</v>
      </c>
      <c r="C794" t="s">
        <v>21</v>
      </c>
      <c r="D794" t="s">
        <v>22</v>
      </c>
      <c r="E794">
        <v>2019</v>
      </c>
      <c r="F794" t="s">
        <v>83</v>
      </c>
      <c r="G794" t="s">
        <v>85</v>
      </c>
      <c r="I794" s="9"/>
      <c r="J794" t="s">
        <v>67</v>
      </c>
      <c r="K794" t="s">
        <v>68</v>
      </c>
    </row>
    <row r="795" spans="1:11" hidden="1" x14ac:dyDescent="0.25">
      <c r="A795" t="s">
        <v>81</v>
      </c>
      <c r="B795" t="s">
        <v>82</v>
      </c>
      <c r="C795" t="s">
        <v>21</v>
      </c>
      <c r="D795" t="s">
        <v>22</v>
      </c>
      <c r="E795">
        <v>2020</v>
      </c>
      <c r="F795" t="s">
        <v>83</v>
      </c>
      <c r="G795" t="s">
        <v>85</v>
      </c>
      <c r="I795" s="9"/>
      <c r="J795" t="s">
        <v>67</v>
      </c>
      <c r="K795" t="s">
        <v>68</v>
      </c>
    </row>
    <row r="796" spans="1:11" hidden="1" x14ac:dyDescent="0.25">
      <c r="A796" t="s">
        <v>81</v>
      </c>
      <c r="B796" t="s">
        <v>82</v>
      </c>
      <c r="C796" t="s">
        <v>21</v>
      </c>
      <c r="D796" t="s">
        <v>22</v>
      </c>
      <c r="E796">
        <v>2021</v>
      </c>
      <c r="F796" t="s">
        <v>83</v>
      </c>
      <c r="G796" t="s">
        <v>85</v>
      </c>
      <c r="I796" s="9"/>
      <c r="J796" t="s">
        <v>67</v>
      </c>
      <c r="K796" t="s">
        <v>68</v>
      </c>
    </row>
    <row r="797" spans="1:11" hidden="1" x14ac:dyDescent="0.25">
      <c r="A797" t="s">
        <v>81</v>
      </c>
      <c r="B797" t="s">
        <v>82</v>
      </c>
      <c r="C797" t="s">
        <v>21</v>
      </c>
      <c r="D797" t="s">
        <v>22</v>
      </c>
      <c r="E797">
        <v>2022</v>
      </c>
      <c r="F797" t="s">
        <v>83</v>
      </c>
      <c r="G797" t="s">
        <v>85</v>
      </c>
      <c r="I797" s="9"/>
      <c r="J797" t="s">
        <v>67</v>
      </c>
      <c r="K797" t="s">
        <v>68</v>
      </c>
    </row>
    <row r="798" spans="1:11" hidden="1" x14ac:dyDescent="0.25">
      <c r="A798" t="s">
        <v>81</v>
      </c>
      <c r="B798" t="s">
        <v>82</v>
      </c>
      <c r="C798" t="s">
        <v>21</v>
      </c>
      <c r="D798" t="s">
        <v>22</v>
      </c>
      <c r="E798">
        <v>2023</v>
      </c>
      <c r="F798" t="s">
        <v>83</v>
      </c>
      <c r="G798" t="s">
        <v>85</v>
      </c>
      <c r="I798" s="9"/>
      <c r="J798" t="s">
        <v>67</v>
      </c>
      <c r="K798" t="s">
        <v>68</v>
      </c>
    </row>
    <row r="799" spans="1:11" hidden="1" x14ac:dyDescent="0.25">
      <c r="A799" t="s">
        <v>81</v>
      </c>
      <c r="B799" t="s">
        <v>82</v>
      </c>
      <c r="C799" t="s">
        <v>21</v>
      </c>
      <c r="D799" t="s">
        <v>22</v>
      </c>
      <c r="E799">
        <v>2024</v>
      </c>
      <c r="F799" t="s">
        <v>83</v>
      </c>
      <c r="G799" t="s">
        <v>85</v>
      </c>
      <c r="I799" s="9"/>
      <c r="J799" t="s">
        <v>67</v>
      </c>
      <c r="K799" t="s">
        <v>68</v>
      </c>
    </row>
    <row r="800" spans="1:11" hidden="1" x14ac:dyDescent="0.25">
      <c r="A800" t="s">
        <v>81</v>
      </c>
      <c r="B800" t="s">
        <v>82</v>
      </c>
      <c r="C800" t="s">
        <v>23</v>
      </c>
      <c r="D800" t="s">
        <v>24</v>
      </c>
      <c r="E800">
        <v>2019</v>
      </c>
      <c r="F800" t="s">
        <v>83</v>
      </c>
      <c r="G800" t="s">
        <v>85</v>
      </c>
      <c r="I800" s="9"/>
      <c r="J800" t="s">
        <v>67</v>
      </c>
      <c r="K800" t="s">
        <v>68</v>
      </c>
    </row>
    <row r="801" spans="1:11" hidden="1" x14ac:dyDescent="0.25">
      <c r="A801" t="s">
        <v>81</v>
      </c>
      <c r="B801" t="s">
        <v>82</v>
      </c>
      <c r="C801" t="s">
        <v>23</v>
      </c>
      <c r="D801" t="s">
        <v>24</v>
      </c>
      <c r="E801">
        <v>2020</v>
      </c>
      <c r="F801" t="s">
        <v>83</v>
      </c>
      <c r="G801" t="s">
        <v>85</v>
      </c>
      <c r="I801" s="9"/>
      <c r="J801" t="s">
        <v>67</v>
      </c>
      <c r="K801" t="s">
        <v>68</v>
      </c>
    </row>
    <row r="802" spans="1:11" hidden="1" x14ac:dyDescent="0.25">
      <c r="A802" t="s">
        <v>81</v>
      </c>
      <c r="B802" t="s">
        <v>82</v>
      </c>
      <c r="C802" t="s">
        <v>23</v>
      </c>
      <c r="D802" t="s">
        <v>24</v>
      </c>
      <c r="E802">
        <v>2021</v>
      </c>
      <c r="F802" t="s">
        <v>83</v>
      </c>
      <c r="G802" t="s">
        <v>85</v>
      </c>
      <c r="I802" s="9"/>
      <c r="J802" t="s">
        <v>67</v>
      </c>
      <c r="K802" t="s">
        <v>68</v>
      </c>
    </row>
    <row r="803" spans="1:11" hidden="1" x14ac:dyDescent="0.25">
      <c r="A803" t="s">
        <v>81</v>
      </c>
      <c r="B803" t="s">
        <v>82</v>
      </c>
      <c r="C803" t="s">
        <v>23</v>
      </c>
      <c r="D803" t="s">
        <v>24</v>
      </c>
      <c r="E803">
        <v>2022</v>
      </c>
      <c r="F803" t="s">
        <v>83</v>
      </c>
      <c r="G803" t="s">
        <v>85</v>
      </c>
      <c r="I803" s="9"/>
      <c r="J803" t="s">
        <v>67</v>
      </c>
      <c r="K803" t="s">
        <v>68</v>
      </c>
    </row>
    <row r="804" spans="1:11" hidden="1" x14ac:dyDescent="0.25">
      <c r="A804" t="s">
        <v>81</v>
      </c>
      <c r="B804" t="s">
        <v>82</v>
      </c>
      <c r="C804" t="s">
        <v>23</v>
      </c>
      <c r="D804" t="s">
        <v>24</v>
      </c>
      <c r="E804">
        <v>2023</v>
      </c>
      <c r="F804" t="s">
        <v>83</v>
      </c>
      <c r="G804" t="s">
        <v>85</v>
      </c>
      <c r="I804" s="9"/>
      <c r="J804" t="s">
        <v>67</v>
      </c>
      <c r="K804" t="s">
        <v>68</v>
      </c>
    </row>
    <row r="805" spans="1:11" hidden="1" x14ac:dyDescent="0.25">
      <c r="A805" t="s">
        <v>81</v>
      </c>
      <c r="B805" t="s">
        <v>82</v>
      </c>
      <c r="C805" t="s">
        <v>23</v>
      </c>
      <c r="D805" t="s">
        <v>24</v>
      </c>
      <c r="E805">
        <v>2024</v>
      </c>
      <c r="F805" t="s">
        <v>83</v>
      </c>
      <c r="G805" t="s">
        <v>85</v>
      </c>
      <c r="I805" s="9"/>
      <c r="J805" t="s">
        <v>67</v>
      </c>
      <c r="K805" t="s">
        <v>68</v>
      </c>
    </row>
    <row r="806" spans="1:11" hidden="1" x14ac:dyDescent="0.25">
      <c r="A806" t="s">
        <v>81</v>
      </c>
      <c r="B806" t="s">
        <v>82</v>
      </c>
      <c r="C806" t="s">
        <v>25</v>
      </c>
      <c r="D806" t="s">
        <v>26</v>
      </c>
      <c r="E806">
        <v>2019</v>
      </c>
      <c r="F806" t="s">
        <v>83</v>
      </c>
      <c r="G806" t="s">
        <v>85</v>
      </c>
      <c r="H806">
        <v>210.45618271714801</v>
      </c>
      <c r="I806" s="9"/>
      <c r="J806" t="s">
        <v>67</v>
      </c>
      <c r="K806" t="s">
        <v>68</v>
      </c>
    </row>
    <row r="807" spans="1:11" hidden="1" x14ac:dyDescent="0.25">
      <c r="A807" t="s">
        <v>81</v>
      </c>
      <c r="B807" t="s">
        <v>82</v>
      </c>
      <c r="C807" t="s">
        <v>25</v>
      </c>
      <c r="D807" t="s">
        <v>26</v>
      </c>
      <c r="E807">
        <v>2020</v>
      </c>
      <c r="F807" t="s">
        <v>83</v>
      </c>
      <c r="G807" t="s">
        <v>85</v>
      </c>
      <c r="H807">
        <v>209.67125224719999</v>
      </c>
      <c r="I807" s="9">
        <v>-0.78493046994802285</v>
      </c>
      <c r="J807" t="s">
        <v>67</v>
      </c>
      <c r="K807" t="s">
        <v>68</v>
      </c>
    </row>
    <row r="808" spans="1:11" hidden="1" x14ac:dyDescent="0.25">
      <c r="A808" t="s">
        <v>81</v>
      </c>
      <c r="B808" t="s">
        <v>82</v>
      </c>
      <c r="C808" t="s">
        <v>25</v>
      </c>
      <c r="D808" t="s">
        <v>26</v>
      </c>
      <c r="E808">
        <v>2021</v>
      </c>
      <c r="F808" t="s">
        <v>83</v>
      </c>
      <c r="G808" t="s">
        <v>85</v>
      </c>
      <c r="H808">
        <v>252.48120719953801</v>
      </c>
      <c r="I808" s="9">
        <v>42.809954952338018</v>
      </c>
      <c r="J808" t="s">
        <v>67</v>
      </c>
      <c r="K808" t="s">
        <v>68</v>
      </c>
    </row>
    <row r="809" spans="1:11" hidden="1" x14ac:dyDescent="0.25">
      <c r="A809" t="s">
        <v>81</v>
      </c>
      <c r="B809" t="s">
        <v>82</v>
      </c>
      <c r="C809" t="s">
        <v>25</v>
      </c>
      <c r="D809" t="s">
        <v>26</v>
      </c>
      <c r="E809">
        <v>2022</v>
      </c>
      <c r="F809" t="s">
        <v>83</v>
      </c>
      <c r="G809" t="s">
        <v>85</v>
      </c>
      <c r="H809">
        <v>302.58650561877101</v>
      </c>
      <c r="I809" s="9">
        <v>50.105298419233009</v>
      </c>
      <c r="J809" t="s">
        <v>67</v>
      </c>
      <c r="K809" t="s">
        <v>68</v>
      </c>
    </row>
    <row r="810" spans="1:11" hidden="1" x14ac:dyDescent="0.25">
      <c r="A810" t="s">
        <v>81</v>
      </c>
      <c r="B810" t="s">
        <v>82</v>
      </c>
      <c r="C810" t="s">
        <v>25</v>
      </c>
      <c r="D810" t="s">
        <v>26</v>
      </c>
      <c r="E810">
        <v>2023</v>
      </c>
      <c r="F810" t="s">
        <v>83</v>
      </c>
      <c r="G810" t="s">
        <v>85</v>
      </c>
      <c r="H810">
        <v>326.09895691954699</v>
      </c>
      <c r="I810" s="9">
        <v>23.512451300775979</v>
      </c>
      <c r="J810" t="s">
        <v>67</v>
      </c>
      <c r="K810" t="s">
        <v>68</v>
      </c>
    </row>
    <row r="811" spans="1:11" hidden="1" x14ac:dyDescent="0.25">
      <c r="A811" t="s">
        <v>81</v>
      </c>
      <c r="B811" t="s">
        <v>82</v>
      </c>
      <c r="C811" t="s">
        <v>25</v>
      </c>
      <c r="D811" t="s">
        <v>26</v>
      </c>
      <c r="E811">
        <v>2024</v>
      </c>
      <c r="F811" t="s">
        <v>83</v>
      </c>
      <c r="G811" t="s">
        <v>85</v>
      </c>
      <c r="H811">
        <v>358.68386547990798</v>
      </c>
      <c r="I811" s="9">
        <v>32.584908560360986</v>
      </c>
      <c r="J811" t="s">
        <v>67</v>
      </c>
      <c r="K811" t="s">
        <v>68</v>
      </c>
    </row>
    <row r="812" spans="1:11" hidden="1" x14ac:dyDescent="0.25">
      <c r="A812" t="s">
        <v>81</v>
      </c>
      <c r="B812" t="s">
        <v>82</v>
      </c>
      <c r="C812" t="s">
        <v>27</v>
      </c>
      <c r="D812" t="s">
        <v>28</v>
      </c>
      <c r="E812">
        <v>2019</v>
      </c>
      <c r="F812" t="s">
        <v>83</v>
      </c>
      <c r="G812" t="s">
        <v>85</v>
      </c>
      <c r="H812">
        <v>551.31233038026403</v>
      </c>
      <c r="I812" s="9"/>
      <c r="J812" t="s">
        <v>67</v>
      </c>
      <c r="K812" t="s">
        <v>68</v>
      </c>
    </row>
    <row r="813" spans="1:11" hidden="1" x14ac:dyDescent="0.25">
      <c r="A813" t="s">
        <v>81</v>
      </c>
      <c r="B813" t="s">
        <v>82</v>
      </c>
      <c r="C813" t="s">
        <v>27</v>
      </c>
      <c r="D813" t="s">
        <v>28</v>
      </c>
      <c r="E813">
        <v>2020</v>
      </c>
      <c r="F813" t="s">
        <v>83</v>
      </c>
      <c r="G813" t="s">
        <v>85</v>
      </c>
      <c r="H813">
        <v>551.55803582112105</v>
      </c>
      <c r="I813" s="9">
        <v>0.24570544085702295</v>
      </c>
      <c r="J813" t="s">
        <v>67</v>
      </c>
      <c r="K813" t="s">
        <v>68</v>
      </c>
    </row>
    <row r="814" spans="1:11" hidden="1" x14ac:dyDescent="0.25">
      <c r="A814" t="s">
        <v>81</v>
      </c>
      <c r="B814" t="s">
        <v>82</v>
      </c>
      <c r="C814" t="s">
        <v>27</v>
      </c>
      <c r="D814" t="s">
        <v>28</v>
      </c>
      <c r="E814">
        <v>2021</v>
      </c>
      <c r="F814" t="s">
        <v>83</v>
      </c>
      <c r="G814" t="s">
        <v>85</v>
      </c>
      <c r="H814">
        <v>553.53503537736901</v>
      </c>
      <c r="I814" s="9">
        <v>1.9769995562479608</v>
      </c>
      <c r="J814" t="s">
        <v>67</v>
      </c>
      <c r="K814" t="s">
        <v>68</v>
      </c>
    </row>
    <row r="815" spans="1:11" hidden="1" x14ac:dyDescent="0.25">
      <c r="A815" t="s">
        <v>81</v>
      </c>
      <c r="B815" t="s">
        <v>82</v>
      </c>
      <c r="C815" t="s">
        <v>27</v>
      </c>
      <c r="D815" t="s">
        <v>28</v>
      </c>
      <c r="E815">
        <v>2022</v>
      </c>
      <c r="F815" t="s">
        <v>83</v>
      </c>
      <c r="G815" t="s">
        <v>85</v>
      </c>
      <c r="H815">
        <v>556.714320009723</v>
      </c>
      <c r="I815" s="9">
        <v>3.1792846323539834</v>
      </c>
      <c r="J815" t="s">
        <v>67</v>
      </c>
      <c r="K815" t="s">
        <v>68</v>
      </c>
    </row>
    <row r="816" spans="1:11" hidden="1" x14ac:dyDescent="0.25">
      <c r="A816" t="s">
        <v>81</v>
      </c>
      <c r="B816" t="s">
        <v>82</v>
      </c>
      <c r="C816" t="s">
        <v>27</v>
      </c>
      <c r="D816" t="s">
        <v>28</v>
      </c>
      <c r="E816">
        <v>2023</v>
      </c>
      <c r="F816" t="s">
        <v>83</v>
      </c>
      <c r="G816" t="s">
        <v>85</v>
      </c>
      <c r="H816">
        <v>581.14558992898401</v>
      </c>
      <c r="I816" s="9">
        <v>24.431269919261013</v>
      </c>
      <c r="J816" t="s">
        <v>67</v>
      </c>
      <c r="K816" t="s">
        <v>68</v>
      </c>
    </row>
    <row r="817" spans="1:11" hidden="1" x14ac:dyDescent="0.25">
      <c r="A817" t="s">
        <v>81</v>
      </c>
      <c r="B817" t="s">
        <v>82</v>
      </c>
      <c r="C817" t="s">
        <v>27</v>
      </c>
      <c r="D817" t="s">
        <v>28</v>
      </c>
      <c r="E817">
        <v>2024</v>
      </c>
      <c r="F817" t="s">
        <v>83</v>
      </c>
      <c r="G817" t="s">
        <v>85</v>
      </c>
      <c r="H817">
        <v>587.26931272582601</v>
      </c>
      <c r="I817" s="9">
        <v>6.1237227968420029</v>
      </c>
      <c r="J817" t="s">
        <v>67</v>
      </c>
      <c r="K817" t="s">
        <v>68</v>
      </c>
    </row>
    <row r="818" spans="1:11" hidden="1" x14ac:dyDescent="0.25">
      <c r="A818" t="s">
        <v>81</v>
      </c>
      <c r="B818" t="s">
        <v>82</v>
      </c>
      <c r="C818" t="s">
        <v>29</v>
      </c>
      <c r="D818" t="s">
        <v>30</v>
      </c>
      <c r="E818">
        <v>2019</v>
      </c>
      <c r="F818" t="s">
        <v>83</v>
      </c>
      <c r="G818" t="s">
        <v>85</v>
      </c>
      <c r="I818" s="9"/>
      <c r="J818" t="s">
        <v>67</v>
      </c>
      <c r="K818" t="s">
        <v>68</v>
      </c>
    </row>
    <row r="819" spans="1:11" hidden="1" x14ac:dyDescent="0.25">
      <c r="A819" t="s">
        <v>81</v>
      </c>
      <c r="B819" t="s">
        <v>82</v>
      </c>
      <c r="C819" t="s">
        <v>29</v>
      </c>
      <c r="D819" t="s">
        <v>30</v>
      </c>
      <c r="E819">
        <v>2020</v>
      </c>
      <c r="F819" t="s">
        <v>83</v>
      </c>
      <c r="G819" t="s">
        <v>85</v>
      </c>
      <c r="I819" s="9"/>
      <c r="J819" t="s">
        <v>67</v>
      </c>
      <c r="K819" t="s">
        <v>68</v>
      </c>
    </row>
    <row r="820" spans="1:11" hidden="1" x14ac:dyDescent="0.25">
      <c r="A820" t="s">
        <v>81</v>
      </c>
      <c r="B820" t="s">
        <v>82</v>
      </c>
      <c r="C820" t="s">
        <v>29</v>
      </c>
      <c r="D820" t="s">
        <v>30</v>
      </c>
      <c r="E820">
        <v>2021</v>
      </c>
      <c r="F820" t="s">
        <v>83</v>
      </c>
      <c r="G820" t="s">
        <v>85</v>
      </c>
      <c r="I820" s="9"/>
      <c r="J820" t="s">
        <v>67</v>
      </c>
      <c r="K820" t="s">
        <v>68</v>
      </c>
    </row>
    <row r="821" spans="1:11" hidden="1" x14ac:dyDescent="0.25">
      <c r="A821" t="s">
        <v>81</v>
      </c>
      <c r="B821" t="s">
        <v>82</v>
      </c>
      <c r="C821" t="s">
        <v>29</v>
      </c>
      <c r="D821" t="s">
        <v>30</v>
      </c>
      <c r="E821">
        <v>2022</v>
      </c>
      <c r="F821" t="s">
        <v>83</v>
      </c>
      <c r="G821" t="s">
        <v>85</v>
      </c>
      <c r="I821" s="9"/>
      <c r="J821" t="s">
        <v>67</v>
      </c>
      <c r="K821" t="s">
        <v>68</v>
      </c>
    </row>
    <row r="822" spans="1:11" hidden="1" x14ac:dyDescent="0.25">
      <c r="A822" t="s">
        <v>81</v>
      </c>
      <c r="B822" t="s">
        <v>82</v>
      </c>
      <c r="C822" t="s">
        <v>29</v>
      </c>
      <c r="D822" t="s">
        <v>30</v>
      </c>
      <c r="E822">
        <v>2023</v>
      </c>
      <c r="F822" t="s">
        <v>83</v>
      </c>
      <c r="G822" t="s">
        <v>85</v>
      </c>
      <c r="I822" s="9"/>
      <c r="J822" t="s">
        <v>67</v>
      </c>
      <c r="K822" t="s">
        <v>68</v>
      </c>
    </row>
    <row r="823" spans="1:11" hidden="1" x14ac:dyDescent="0.25">
      <c r="A823" t="s">
        <v>81</v>
      </c>
      <c r="B823" t="s">
        <v>82</v>
      </c>
      <c r="C823" t="s">
        <v>29</v>
      </c>
      <c r="D823" t="s">
        <v>30</v>
      </c>
      <c r="E823">
        <v>2024</v>
      </c>
      <c r="F823" t="s">
        <v>83</v>
      </c>
      <c r="G823" t="s">
        <v>85</v>
      </c>
      <c r="I823" s="9"/>
      <c r="J823" t="s">
        <v>67</v>
      </c>
      <c r="K823" t="s">
        <v>68</v>
      </c>
    </row>
    <row r="824" spans="1:11" hidden="1" x14ac:dyDescent="0.25">
      <c r="A824" t="s">
        <v>81</v>
      </c>
      <c r="B824" t="s">
        <v>82</v>
      </c>
      <c r="C824" t="s">
        <v>49</v>
      </c>
      <c r="D824" t="s">
        <v>50</v>
      </c>
      <c r="E824">
        <v>2019</v>
      </c>
      <c r="F824" t="s">
        <v>83</v>
      </c>
      <c r="G824" t="s">
        <v>85</v>
      </c>
      <c r="H824">
        <v>209.290457504454</v>
      </c>
      <c r="I824" s="9"/>
      <c r="J824" t="s">
        <v>67</v>
      </c>
      <c r="K824" t="s">
        <v>68</v>
      </c>
    </row>
    <row r="825" spans="1:11" hidden="1" x14ac:dyDescent="0.25">
      <c r="A825" t="s">
        <v>81</v>
      </c>
      <c r="B825" t="s">
        <v>82</v>
      </c>
      <c r="C825" t="s">
        <v>49</v>
      </c>
      <c r="D825" t="s">
        <v>50</v>
      </c>
      <c r="E825">
        <v>2020</v>
      </c>
      <c r="F825" t="s">
        <v>83</v>
      </c>
      <c r="G825" t="s">
        <v>85</v>
      </c>
      <c r="H825">
        <v>206.479050659184</v>
      </c>
      <c r="I825" s="9">
        <v>-2.8114068452699996</v>
      </c>
      <c r="J825" t="s">
        <v>67</v>
      </c>
      <c r="K825" t="s">
        <v>68</v>
      </c>
    </row>
    <row r="826" spans="1:11" hidden="1" x14ac:dyDescent="0.25">
      <c r="A826" t="s">
        <v>81</v>
      </c>
      <c r="B826" t="s">
        <v>82</v>
      </c>
      <c r="C826" t="s">
        <v>49</v>
      </c>
      <c r="D826" t="s">
        <v>50</v>
      </c>
      <c r="E826">
        <v>2021</v>
      </c>
      <c r="F826" t="s">
        <v>83</v>
      </c>
      <c r="G826" t="s">
        <v>85</v>
      </c>
      <c r="H826">
        <v>208.463994820984</v>
      </c>
      <c r="I826" s="9">
        <v>1.9849441618000014</v>
      </c>
      <c r="J826" t="s">
        <v>67</v>
      </c>
      <c r="K826" t="s">
        <v>68</v>
      </c>
    </row>
    <row r="827" spans="1:11" hidden="1" x14ac:dyDescent="0.25">
      <c r="A827" t="s">
        <v>81</v>
      </c>
      <c r="B827" t="s">
        <v>82</v>
      </c>
      <c r="C827" t="s">
        <v>49</v>
      </c>
      <c r="D827" t="s">
        <v>50</v>
      </c>
      <c r="E827">
        <v>2022</v>
      </c>
      <c r="F827" t="s">
        <v>83</v>
      </c>
      <c r="G827" t="s">
        <v>85</v>
      </c>
      <c r="H827">
        <v>204.53693419805501</v>
      </c>
      <c r="I827" s="9">
        <v>-3.9270606229289911</v>
      </c>
      <c r="J827" t="s">
        <v>67</v>
      </c>
      <c r="K827" t="s">
        <v>68</v>
      </c>
    </row>
    <row r="828" spans="1:11" hidden="1" x14ac:dyDescent="0.25">
      <c r="A828" t="s">
        <v>81</v>
      </c>
      <c r="B828" t="s">
        <v>82</v>
      </c>
      <c r="C828" t="s">
        <v>49</v>
      </c>
      <c r="D828" t="s">
        <v>50</v>
      </c>
      <c r="E828">
        <v>2023</v>
      </c>
      <c r="F828" t="s">
        <v>83</v>
      </c>
      <c r="G828" t="s">
        <v>85</v>
      </c>
      <c r="H828">
        <v>200.502158435821</v>
      </c>
      <c r="I828" s="9">
        <v>-4.0347757622340055</v>
      </c>
      <c r="J828" t="s">
        <v>67</v>
      </c>
      <c r="K828" t="s">
        <v>68</v>
      </c>
    </row>
    <row r="829" spans="1:11" hidden="1" x14ac:dyDescent="0.25">
      <c r="A829" t="s">
        <v>81</v>
      </c>
      <c r="B829" t="s">
        <v>82</v>
      </c>
      <c r="C829" t="s">
        <v>49</v>
      </c>
      <c r="D829" t="s">
        <v>50</v>
      </c>
      <c r="E829">
        <v>2024</v>
      </c>
      <c r="F829" t="s">
        <v>83</v>
      </c>
      <c r="G829" t="s">
        <v>85</v>
      </c>
      <c r="H829">
        <v>198.93339771068599</v>
      </c>
      <c r="I829" s="9">
        <v>-1.5687607251350073</v>
      </c>
      <c r="J829" t="s">
        <v>67</v>
      </c>
      <c r="K829" t="s">
        <v>68</v>
      </c>
    </row>
    <row r="830" spans="1:11" hidden="1" x14ac:dyDescent="0.25">
      <c r="A830" t="s">
        <v>81</v>
      </c>
      <c r="B830" t="s">
        <v>82</v>
      </c>
      <c r="C830" t="s">
        <v>33</v>
      </c>
      <c r="D830" t="s">
        <v>34</v>
      </c>
      <c r="E830">
        <v>2019</v>
      </c>
      <c r="F830" t="s">
        <v>83</v>
      </c>
      <c r="G830" t="s">
        <v>85</v>
      </c>
      <c r="I830" s="9"/>
      <c r="J830" t="s">
        <v>67</v>
      </c>
      <c r="K830" t="s">
        <v>68</v>
      </c>
    </row>
    <row r="831" spans="1:11" hidden="1" x14ac:dyDescent="0.25">
      <c r="A831" t="s">
        <v>81</v>
      </c>
      <c r="B831" t="s">
        <v>82</v>
      </c>
      <c r="C831" t="s">
        <v>33</v>
      </c>
      <c r="D831" t="s">
        <v>34</v>
      </c>
      <c r="E831">
        <v>2020</v>
      </c>
      <c r="F831" t="s">
        <v>83</v>
      </c>
      <c r="G831" t="s">
        <v>85</v>
      </c>
      <c r="I831" s="9"/>
      <c r="J831" t="s">
        <v>67</v>
      </c>
      <c r="K831" t="s">
        <v>68</v>
      </c>
    </row>
    <row r="832" spans="1:11" hidden="1" x14ac:dyDescent="0.25">
      <c r="A832" t="s">
        <v>81</v>
      </c>
      <c r="B832" t="s">
        <v>82</v>
      </c>
      <c r="C832" t="s">
        <v>33</v>
      </c>
      <c r="D832" t="s">
        <v>34</v>
      </c>
      <c r="E832">
        <v>2021</v>
      </c>
      <c r="F832" t="s">
        <v>83</v>
      </c>
      <c r="G832" t="s">
        <v>85</v>
      </c>
      <c r="I832" s="9"/>
      <c r="J832" t="s">
        <v>67</v>
      </c>
      <c r="K832" t="s">
        <v>68</v>
      </c>
    </row>
    <row r="833" spans="1:11" hidden="1" x14ac:dyDescent="0.25">
      <c r="A833" t="s">
        <v>81</v>
      </c>
      <c r="B833" t="s">
        <v>82</v>
      </c>
      <c r="C833" t="s">
        <v>33</v>
      </c>
      <c r="D833" t="s">
        <v>34</v>
      </c>
      <c r="E833">
        <v>2022</v>
      </c>
      <c r="F833" t="s">
        <v>83</v>
      </c>
      <c r="G833" t="s">
        <v>85</v>
      </c>
      <c r="I833" s="9"/>
      <c r="J833" t="s">
        <v>67</v>
      </c>
      <c r="K833" t="s">
        <v>68</v>
      </c>
    </row>
    <row r="834" spans="1:11" hidden="1" x14ac:dyDescent="0.25">
      <c r="A834" t="s">
        <v>81</v>
      </c>
      <c r="B834" t="s">
        <v>82</v>
      </c>
      <c r="C834" t="s">
        <v>33</v>
      </c>
      <c r="D834" t="s">
        <v>34</v>
      </c>
      <c r="E834">
        <v>2023</v>
      </c>
      <c r="F834" t="s">
        <v>83</v>
      </c>
      <c r="G834" t="s">
        <v>85</v>
      </c>
      <c r="I834" s="9"/>
      <c r="J834" t="s">
        <v>67</v>
      </c>
      <c r="K834" t="s">
        <v>68</v>
      </c>
    </row>
    <row r="835" spans="1:11" hidden="1" x14ac:dyDescent="0.25">
      <c r="A835" t="s">
        <v>81</v>
      </c>
      <c r="B835" t="s">
        <v>82</v>
      </c>
      <c r="C835" t="s">
        <v>33</v>
      </c>
      <c r="D835" t="s">
        <v>34</v>
      </c>
      <c r="E835">
        <v>2024</v>
      </c>
      <c r="F835" t="s">
        <v>83</v>
      </c>
      <c r="G835" t="s">
        <v>85</v>
      </c>
      <c r="I835" s="9"/>
      <c r="J835" t="s">
        <v>67</v>
      </c>
      <c r="K835" t="s">
        <v>68</v>
      </c>
    </row>
    <row r="836" spans="1:11" hidden="1" x14ac:dyDescent="0.25">
      <c r="A836" t="s">
        <v>81</v>
      </c>
      <c r="B836" t="s">
        <v>82</v>
      </c>
      <c r="C836" t="s">
        <v>51</v>
      </c>
      <c r="D836" t="s">
        <v>52</v>
      </c>
      <c r="E836">
        <v>2019</v>
      </c>
      <c r="F836" t="s">
        <v>83</v>
      </c>
      <c r="G836" t="s">
        <v>85</v>
      </c>
      <c r="I836" s="9"/>
      <c r="J836" t="s">
        <v>67</v>
      </c>
      <c r="K836" t="s">
        <v>68</v>
      </c>
    </row>
    <row r="837" spans="1:11" hidden="1" x14ac:dyDescent="0.25">
      <c r="A837" t="s">
        <v>81</v>
      </c>
      <c r="B837" t="s">
        <v>82</v>
      </c>
      <c r="C837" t="s">
        <v>51</v>
      </c>
      <c r="D837" t="s">
        <v>52</v>
      </c>
      <c r="E837">
        <v>2020</v>
      </c>
      <c r="F837" t="s">
        <v>83</v>
      </c>
      <c r="G837" t="s">
        <v>85</v>
      </c>
      <c r="I837" s="9"/>
      <c r="J837" t="s">
        <v>67</v>
      </c>
      <c r="K837" t="s">
        <v>68</v>
      </c>
    </row>
    <row r="838" spans="1:11" hidden="1" x14ac:dyDescent="0.25">
      <c r="A838" t="s">
        <v>81</v>
      </c>
      <c r="B838" t="s">
        <v>82</v>
      </c>
      <c r="C838" t="s">
        <v>51</v>
      </c>
      <c r="D838" t="s">
        <v>52</v>
      </c>
      <c r="E838">
        <v>2021</v>
      </c>
      <c r="F838" t="s">
        <v>83</v>
      </c>
      <c r="G838" t="s">
        <v>85</v>
      </c>
      <c r="I838" s="9"/>
      <c r="J838" t="s">
        <v>67</v>
      </c>
      <c r="K838" t="s">
        <v>68</v>
      </c>
    </row>
    <row r="839" spans="1:11" hidden="1" x14ac:dyDescent="0.25">
      <c r="A839" t="s">
        <v>81</v>
      </c>
      <c r="B839" t="s">
        <v>82</v>
      </c>
      <c r="C839" t="s">
        <v>51</v>
      </c>
      <c r="D839" t="s">
        <v>52</v>
      </c>
      <c r="E839">
        <v>2022</v>
      </c>
      <c r="F839" t="s">
        <v>83</v>
      </c>
      <c r="G839" t="s">
        <v>85</v>
      </c>
      <c r="I839" s="9"/>
      <c r="J839" t="s">
        <v>67</v>
      </c>
      <c r="K839" t="s">
        <v>68</v>
      </c>
    </row>
    <row r="840" spans="1:11" hidden="1" x14ac:dyDescent="0.25">
      <c r="A840" t="s">
        <v>81</v>
      </c>
      <c r="B840" t="s">
        <v>82</v>
      </c>
      <c r="C840" t="s">
        <v>51</v>
      </c>
      <c r="D840" t="s">
        <v>52</v>
      </c>
      <c r="E840">
        <v>2023</v>
      </c>
      <c r="F840" t="s">
        <v>83</v>
      </c>
      <c r="G840" t="s">
        <v>85</v>
      </c>
      <c r="I840" s="9"/>
      <c r="J840" t="s">
        <v>67</v>
      </c>
      <c r="K840" t="s">
        <v>68</v>
      </c>
    </row>
    <row r="841" spans="1:11" hidden="1" x14ac:dyDescent="0.25">
      <c r="A841" t="s">
        <v>81</v>
      </c>
      <c r="B841" t="s">
        <v>82</v>
      </c>
      <c r="C841" t="s">
        <v>51</v>
      </c>
      <c r="D841" t="s">
        <v>52</v>
      </c>
      <c r="E841">
        <v>2024</v>
      </c>
      <c r="F841" t="s">
        <v>83</v>
      </c>
      <c r="G841" t="s">
        <v>85</v>
      </c>
      <c r="I841" s="9"/>
      <c r="J841" t="s">
        <v>67</v>
      </c>
      <c r="K841" t="s">
        <v>68</v>
      </c>
    </row>
    <row r="842" spans="1:11" hidden="1" x14ac:dyDescent="0.25">
      <c r="A842" t="s">
        <v>81</v>
      </c>
      <c r="B842" t="s">
        <v>82</v>
      </c>
      <c r="C842" t="s">
        <v>53</v>
      </c>
      <c r="D842" t="s">
        <v>54</v>
      </c>
      <c r="E842">
        <v>2019</v>
      </c>
      <c r="F842" t="s">
        <v>83</v>
      </c>
      <c r="G842" t="s">
        <v>85</v>
      </c>
      <c r="H842">
        <v>247.12685228266099</v>
      </c>
      <c r="I842" s="9"/>
      <c r="J842" t="s">
        <v>67</v>
      </c>
      <c r="K842" t="s">
        <v>68</v>
      </c>
    </row>
    <row r="843" spans="1:11" hidden="1" x14ac:dyDescent="0.25">
      <c r="A843" t="s">
        <v>81</v>
      </c>
      <c r="B843" t="s">
        <v>82</v>
      </c>
      <c r="C843" t="s">
        <v>53</v>
      </c>
      <c r="D843" t="s">
        <v>54</v>
      </c>
      <c r="E843">
        <v>2020</v>
      </c>
      <c r="F843" t="s">
        <v>83</v>
      </c>
      <c r="G843" t="s">
        <v>85</v>
      </c>
      <c r="H843">
        <v>231.84950484997401</v>
      </c>
      <c r="I843" s="9">
        <v>-15.27734743268698</v>
      </c>
      <c r="J843" t="s">
        <v>67</v>
      </c>
      <c r="K843" t="s">
        <v>68</v>
      </c>
    </row>
    <row r="844" spans="1:11" hidden="1" x14ac:dyDescent="0.25">
      <c r="A844" t="s">
        <v>81</v>
      </c>
      <c r="B844" t="s">
        <v>82</v>
      </c>
      <c r="C844" t="s">
        <v>53</v>
      </c>
      <c r="D844" t="s">
        <v>54</v>
      </c>
      <c r="E844">
        <v>2021</v>
      </c>
      <c r="F844" t="s">
        <v>83</v>
      </c>
      <c r="G844" t="s">
        <v>85</v>
      </c>
      <c r="H844">
        <v>280.88513135684701</v>
      </c>
      <c r="I844" s="9">
        <v>49.035626506873001</v>
      </c>
      <c r="J844" t="s">
        <v>67</v>
      </c>
      <c r="K844" t="s">
        <v>68</v>
      </c>
    </row>
    <row r="845" spans="1:11" hidden="1" x14ac:dyDescent="0.25">
      <c r="A845" t="s">
        <v>81</v>
      </c>
      <c r="B845" t="s">
        <v>82</v>
      </c>
      <c r="C845" t="s">
        <v>53</v>
      </c>
      <c r="D845" t="s">
        <v>54</v>
      </c>
      <c r="E845">
        <v>2022</v>
      </c>
      <c r="F845" t="s">
        <v>83</v>
      </c>
      <c r="G845" t="s">
        <v>85</v>
      </c>
      <c r="I845" s="9"/>
      <c r="J845" t="s">
        <v>67</v>
      </c>
      <c r="K845" t="s">
        <v>68</v>
      </c>
    </row>
    <row r="846" spans="1:11" hidden="1" x14ac:dyDescent="0.25">
      <c r="A846" t="s">
        <v>81</v>
      </c>
      <c r="B846" t="s">
        <v>82</v>
      </c>
      <c r="C846" t="s">
        <v>53</v>
      </c>
      <c r="D846" t="s">
        <v>54</v>
      </c>
      <c r="E846">
        <v>2023</v>
      </c>
      <c r="F846" t="s">
        <v>83</v>
      </c>
      <c r="G846" t="s">
        <v>85</v>
      </c>
      <c r="I846" s="9"/>
      <c r="J846" t="s">
        <v>67</v>
      </c>
      <c r="K846" t="s">
        <v>68</v>
      </c>
    </row>
    <row r="847" spans="1:11" hidden="1" x14ac:dyDescent="0.25">
      <c r="A847" t="s">
        <v>81</v>
      </c>
      <c r="B847" t="s">
        <v>82</v>
      </c>
      <c r="C847" t="s">
        <v>53</v>
      </c>
      <c r="D847" t="s">
        <v>54</v>
      </c>
      <c r="E847">
        <v>2024</v>
      </c>
      <c r="F847" t="s">
        <v>83</v>
      </c>
      <c r="G847" t="s">
        <v>85</v>
      </c>
      <c r="I847" s="9"/>
      <c r="J847" t="s">
        <v>67</v>
      </c>
      <c r="K847" t="s">
        <v>68</v>
      </c>
    </row>
    <row r="848" spans="1:11" hidden="1" x14ac:dyDescent="0.25">
      <c r="A848" t="s">
        <v>81</v>
      </c>
      <c r="B848" t="s">
        <v>82</v>
      </c>
      <c r="C848" t="s">
        <v>31</v>
      </c>
      <c r="D848" t="s">
        <v>32</v>
      </c>
      <c r="E848">
        <v>2019</v>
      </c>
      <c r="F848" t="s">
        <v>83</v>
      </c>
      <c r="G848" t="s">
        <v>85</v>
      </c>
      <c r="I848" s="9"/>
      <c r="J848" t="s">
        <v>67</v>
      </c>
      <c r="K848" t="s">
        <v>68</v>
      </c>
    </row>
    <row r="849" spans="1:11" hidden="1" x14ac:dyDescent="0.25">
      <c r="A849" t="s">
        <v>81</v>
      </c>
      <c r="B849" t="s">
        <v>82</v>
      </c>
      <c r="C849" t="s">
        <v>31</v>
      </c>
      <c r="D849" t="s">
        <v>32</v>
      </c>
      <c r="E849">
        <v>2020</v>
      </c>
      <c r="F849" t="s">
        <v>83</v>
      </c>
      <c r="G849" t="s">
        <v>85</v>
      </c>
      <c r="I849" s="9"/>
      <c r="J849" t="s">
        <v>67</v>
      </c>
      <c r="K849" t="s">
        <v>68</v>
      </c>
    </row>
    <row r="850" spans="1:11" hidden="1" x14ac:dyDescent="0.25">
      <c r="A850" t="s">
        <v>81</v>
      </c>
      <c r="B850" t="s">
        <v>82</v>
      </c>
      <c r="C850" t="s">
        <v>31</v>
      </c>
      <c r="D850" t="s">
        <v>32</v>
      </c>
      <c r="E850">
        <v>2021</v>
      </c>
      <c r="F850" t="s">
        <v>83</v>
      </c>
      <c r="G850" t="s">
        <v>85</v>
      </c>
      <c r="I850" s="9"/>
      <c r="J850" t="s">
        <v>67</v>
      </c>
      <c r="K850" t="s">
        <v>68</v>
      </c>
    </row>
    <row r="851" spans="1:11" hidden="1" x14ac:dyDescent="0.25">
      <c r="A851" t="s">
        <v>81</v>
      </c>
      <c r="B851" t="s">
        <v>82</v>
      </c>
      <c r="C851" t="s">
        <v>31</v>
      </c>
      <c r="D851" t="s">
        <v>32</v>
      </c>
      <c r="E851">
        <v>2022</v>
      </c>
      <c r="F851" t="s">
        <v>83</v>
      </c>
      <c r="G851" t="s">
        <v>85</v>
      </c>
      <c r="I851" s="9"/>
      <c r="J851" t="s">
        <v>67</v>
      </c>
      <c r="K851" t="s">
        <v>68</v>
      </c>
    </row>
    <row r="852" spans="1:11" hidden="1" x14ac:dyDescent="0.25">
      <c r="A852" t="s">
        <v>81</v>
      </c>
      <c r="B852" t="s">
        <v>82</v>
      </c>
      <c r="C852" t="s">
        <v>31</v>
      </c>
      <c r="D852" t="s">
        <v>32</v>
      </c>
      <c r="E852">
        <v>2023</v>
      </c>
      <c r="F852" t="s">
        <v>83</v>
      </c>
      <c r="G852" t="s">
        <v>85</v>
      </c>
      <c r="I852" s="9"/>
      <c r="J852" t="s">
        <v>67</v>
      </c>
      <c r="K852" t="s">
        <v>68</v>
      </c>
    </row>
    <row r="853" spans="1:11" hidden="1" x14ac:dyDescent="0.25">
      <c r="A853" t="s">
        <v>81</v>
      </c>
      <c r="B853" t="s">
        <v>82</v>
      </c>
      <c r="C853" t="s">
        <v>31</v>
      </c>
      <c r="D853" t="s">
        <v>32</v>
      </c>
      <c r="E853">
        <v>2024</v>
      </c>
      <c r="F853" t="s">
        <v>83</v>
      </c>
      <c r="G853" t="s">
        <v>85</v>
      </c>
      <c r="I853" s="9"/>
      <c r="J853" t="s">
        <v>67</v>
      </c>
      <c r="K853" t="s">
        <v>68</v>
      </c>
    </row>
    <row r="854" spans="1:11" hidden="1" x14ac:dyDescent="0.25">
      <c r="A854" t="s">
        <v>81</v>
      </c>
      <c r="B854" t="s">
        <v>82</v>
      </c>
      <c r="C854" t="s">
        <v>35</v>
      </c>
      <c r="D854" t="s">
        <v>36</v>
      </c>
      <c r="E854">
        <v>2019</v>
      </c>
      <c r="F854" t="s">
        <v>83</v>
      </c>
      <c r="G854" t="s">
        <v>85</v>
      </c>
      <c r="I854" s="9"/>
      <c r="J854" t="s">
        <v>67</v>
      </c>
      <c r="K854" t="s">
        <v>68</v>
      </c>
    </row>
    <row r="855" spans="1:11" hidden="1" x14ac:dyDescent="0.25">
      <c r="A855" t="s">
        <v>81</v>
      </c>
      <c r="B855" t="s">
        <v>82</v>
      </c>
      <c r="C855" t="s">
        <v>35</v>
      </c>
      <c r="D855" t="s">
        <v>36</v>
      </c>
      <c r="E855">
        <v>2020</v>
      </c>
      <c r="F855" t="s">
        <v>83</v>
      </c>
      <c r="G855" t="s">
        <v>85</v>
      </c>
      <c r="I855" s="9"/>
      <c r="J855" t="s">
        <v>67</v>
      </c>
      <c r="K855" t="s">
        <v>68</v>
      </c>
    </row>
    <row r="856" spans="1:11" hidden="1" x14ac:dyDescent="0.25">
      <c r="A856" t="s">
        <v>81</v>
      </c>
      <c r="B856" t="s">
        <v>82</v>
      </c>
      <c r="C856" t="s">
        <v>35</v>
      </c>
      <c r="D856" t="s">
        <v>36</v>
      </c>
      <c r="E856">
        <v>2021</v>
      </c>
      <c r="F856" t="s">
        <v>83</v>
      </c>
      <c r="G856" t="s">
        <v>85</v>
      </c>
      <c r="I856" s="9"/>
      <c r="J856" t="s">
        <v>67</v>
      </c>
      <c r="K856" t="s">
        <v>68</v>
      </c>
    </row>
    <row r="857" spans="1:11" hidden="1" x14ac:dyDescent="0.25">
      <c r="A857" t="s">
        <v>81</v>
      </c>
      <c r="B857" t="s">
        <v>82</v>
      </c>
      <c r="C857" t="s">
        <v>35</v>
      </c>
      <c r="D857" t="s">
        <v>36</v>
      </c>
      <c r="E857">
        <v>2022</v>
      </c>
      <c r="F857" t="s">
        <v>83</v>
      </c>
      <c r="G857" t="s">
        <v>85</v>
      </c>
      <c r="I857" s="9"/>
      <c r="J857" t="s">
        <v>67</v>
      </c>
      <c r="K857" t="s">
        <v>68</v>
      </c>
    </row>
    <row r="858" spans="1:11" hidden="1" x14ac:dyDescent="0.25">
      <c r="A858" t="s">
        <v>81</v>
      </c>
      <c r="B858" t="s">
        <v>82</v>
      </c>
      <c r="C858" t="s">
        <v>35</v>
      </c>
      <c r="D858" t="s">
        <v>36</v>
      </c>
      <c r="E858">
        <v>2023</v>
      </c>
      <c r="F858" t="s">
        <v>83</v>
      </c>
      <c r="G858" t="s">
        <v>85</v>
      </c>
      <c r="I858" s="9"/>
      <c r="J858" t="s">
        <v>67</v>
      </c>
      <c r="K858" t="s">
        <v>68</v>
      </c>
    </row>
    <row r="859" spans="1:11" hidden="1" x14ac:dyDescent="0.25">
      <c r="A859" t="s">
        <v>81</v>
      </c>
      <c r="B859" t="s">
        <v>82</v>
      </c>
      <c r="C859" t="s">
        <v>35</v>
      </c>
      <c r="D859" t="s">
        <v>36</v>
      </c>
      <c r="E859">
        <v>2024</v>
      </c>
      <c r="F859" t="s">
        <v>83</v>
      </c>
      <c r="G859" t="s">
        <v>85</v>
      </c>
      <c r="I859" s="9"/>
      <c r="J859" t="s">
        <v>67</v>
      </c>
      <c r="K859" t="s">
        <v>68</v>
      </c>
    </row>
    <row r="860" spans="1:11" hidden="1" x14ac:dyDescent="0.25">
      <c r="A860" t="s">
        <v>81</v>
      </c>
      <c r="B860" t="s">
        <v>82</v>
      </c>
      <c r="C860" t="s">
        <v>7</v>
      </c>
      <c r="D860" t="s">
        <v>8</v>
      </c>
      <c r="E860">
        <v>2019</v>
      </c>
      <c r="F860" t="s">
        <v>83</v>
      </c>
      <c r="G860" t="s">
        <v>85</v>
      </c>
      <c r="H860">
        <v>161.35582265152499</v>
      </c>
      <c r="I860" s="9"/>
      <c r="J860" t="s">
        <v>67</v>
      </c>
      <c r="K860" t="s">
        <v>68</v>
      </c>
    </row>
    <row r="861" spans="1:11" hidden="1" x14ac:dyDescent="0.25">
      <c r="A861" t="s">
        <v>81</v>
      </c>
      <c r="B861" t="s">
        <v>82</v>
      </c>
      <c r="C861" t="s">
        <v>7</v>
      </c>
      <c r="D861" t="s">
        <v>8</v>
      </c>
      <c r="E861">
        <v>2020</v>
      </c>
      <c r="F861" t="s">
        <v>83</v>
      </c>
      <c r="G861" t="s">
        <v>85</v>
      </c>
      <c r="H861">
        <v>145.19474697015801</v>
      </c>
      <c r="I861" s="9">
        <v>-16.161075681366981</v>
      </c>
      <c r="J861" t="s">
        <v>67</v>
      </c>
      <c r="K861" t="s">
        <v>68</v>
      </c>
    </row>
    <row r="862" spans="1:11" hidden="1" x14ac:dyDescent="0.25">
      <c r="A862" t="s">
        <v>81</v>
      </c>
      <c r="B862" t="s">
        <v>82</v>
      </c>
      <c r="C862" t="s">
        <v>7</v>
      </c>
      <c r="D862" t="s">
        <v>8</v>
      </c>
      <c r="E862">
        <v>2021</v>
      </c>
      <c r="F862" t="s">
        <v>83</v>
      </c>
      <c r="G862" t="s">
        <v>85</v>
      </c>
      <c r="H862">
        <v>171.778925278663</v>
      </c>
      <c r="I862" s="9">
        <v>26.584178308504988</v>
      </c>
      <c r="J862" t="s">
        <v>67</v>
      </c>
      <c r="K862" t="s">
        <v>68</v>
      </c>
    </row>
    <row r="863" spans="1:11" hidden="1" x14ac:dyDescent="0.25">
      <c r="A863" t="s">
        <v>81</v>
      </c>
      <c r="B863" t="s">
        <v>82</v>
      </c>
      <c r="C863" t="s">
        <v>7</v>
      </c>
      <c r="D863" t="s">
        <v>8</v>
      </c>
      <c r="E863">
        <v>2022</v>
      </c>
      <c r="F863" t="s">
        <v>83</v>
      </c>
      <c r="G863" t="s">
        <v>85</v>
      </c>
      <c r="H863">
        <v>176.76725099349201</v>
      </c>
      <c r="I863" s="9">
        <v>4.988325714829017</v>
      </c>
      <c r="J863" t="s">
        <v>67</v>
      </c>
      <c r="K863" t="s">
        <v>68</v>
      </c>
    </row>
    <row r="864" spans="1:11" hidden="1" x14ac:dyDescent="0.25">
      <c r="A864" t="s">
        <v>81</v>
      </c>
      <c r="B864" t="s">
        <v>82</v>
      </c>
      <c r="C864" t="s">
        <v>7</v>
      </c>
      <c r="D864" t="s">
        <v>8</v>
      </c>
      <c r="E864">
        <v>2023</v>
      </c>
      <c r="F864" t="s">
        <v>83</v>
      </c>
      <c r="G864" t="s">
        <v>85</v>
      </c>
      <c r="H864">
        <v>219.45483791322599</v>
      </c>
      <c r="I864" s="9">
        <v>42.687586919733974</v>
      </c>
      <c r="J864" t="s">
        <v>67</v>
      </c>
      <c r="K864" t="s">
        <v>68</v>
      </c>
    </row>
    <row r="865" spans="1:11" hidden="1" x14ac:dyDescent="0.25">
      <c r="A865" t="s">
        <v>81</v>
      </c>
      <c r="B865" t="s">
        <v>82</v>
      </c>
      <c r="C865" t="s">
        <v>7</v>
      </c>
      <c r="D865" t="s">
        <v>8</v>
      </c>
      <c r="E865">
        <v>2024</v>
      </c>
      <c r="F865" t="s">
        <v>83</v>
      </c>
      <c r="G865" t="s">
        <v>85</v>
      </c>
      <c r="H865">
        <v>234.68479064640701</v>
      </c>
      <c r="I865" s="9">
        <v>15.229952733181022</v>
      </c>
      <c r="J865" t="s">
        <v>67</v>
      </c>
      <c r="K865" t="s">
        <v>68</v>
      </c>
    </row>
    <row r="866" spans="1:11" hidden="1" x14ac:dyDescent="0.25">
      <c r="A866" t="s">
        <v>81</v>
      </c>
      <c r="B866" t="s">
        <v>82</v>
      </c>
      <c r="C866" t="s">
        <v>37</v>
      </c>
      <c r="D866" t="s">
        <v>38</v>
      </c>
      <c r="E866">
        <v>2019</v>
      </c>
      <c r="F866" t="s">
        <v>83</v>
      </c>
      <c r="G866" t="s">
        <v>85</v>
      </c>
      <c r="I866" s="9"/>
      <c r="J866" t="s">
        <v>67</v>
      </c>
      <c r="K866" t="s">
        <v>68</v>
      </c>
    </row>
    <row r="867" spans="1:11" hidden="1" x14ac:dyDescent="0.25">
      <c r="A867" t="s">
        <v>81</v>
      </c>
      <c r="B867" t="s">
        <v>82</v>
      </c>
      <c r="C867" t="s">
        <v>37</v>
      </c>
      <c r="D867" t="s">
        <v>38</v>
      </c>
      <c r="E867">
        <v>2020</v>
      </c>
      <c r="F867" t="s">
        <v>83</v>
      </c>
      <c r="G867" t="s">
        <v>85</v>
      </c>
      <c r="I867" s="9"/>
      <c r="J867" t="s">
        <v>67</v>
      </c>
      <c r="K867" t="s">
        <v>68</v>
      </c>
    </row>
    <row r="868" spans="1:11" hidden="1" x14ac:dyDescent="0.25">
      <c r="A868" t="s">
        <v>81</v>
      </c>
      <c r="B868" t="s">
        <v>82</v>
      </c>
      <c r="C868" t="s">
        <v>37</v>
      </c>
      <c r="D868" t="s">
        <v>38</v>
      </c>
      <c r="E868">
        <v>2021</v>
      </c>
      <c r="F868" t="s">
        <v>83</v>
      </c>
      <c r="G868" t="s">
        <v>85</v>
      </c>
      <c r="I868" s="9"/>
      <c r="J868" t="s">
        <v>67</v>
      </c>
      <c r="K868" t="s">
        <v>68</v>
      </c>
    </row>
    <row r="869" spans="1:11" hidden="1" x14ac:dyDescent="0.25">
      <c r="A869" t="s">
        <v>81</v>
      </c>
      <c r="B869" t="s">
        <v>82</v>
      </c>
      <c r="C869" t="s">
        <v>37</v>
      </c>
      <c r="D869" t="s">
        <v>38</v>
      </c>
      <c r="E869">
        <v>2022</v>
      </c>
      <c r="F869" t="s">
        <v>83</v>
      </c>
      <c r="G869" t="s">
        <v>85</v>
      </c>
      <c r="I869" s="9"/>
      <c r="J869" t="s">
        <v>67</v>
      </c>
      <c r="K869" t="s">
        <v>68</v>
      </c>
    </row>
    <row r="870" spans="1:11" hidden="1" x14ac:dyDescent="0.25">
      <c r="A870" t="s">
        <v>81</v>
      </c>
      <c r="B870" t="s">
        <v>82</v>
      </c>
      <c r="C870" t="s">
        <v>37</v>
      </c>
      <c r="D870" t="s">
        <v>38</v>
      </c>
      <c r="E870">
        <v>2023</v>
      </c>
      <c r="F870" t="s">
        <v>83</v>
      </c>
      <c r="G870" t="s">
        <v>85</v>
      </c>
      <c r="I870" s="9"/>
      <c r="J870" t="s">
        <v>67</v>
      </c>
      <c r="K870" t="s">
        <v>68</v>
      </c>
    </row>
    <row r="871" spans="1:11" hidden="1" x14ac:dyDescent="0.25">
      <c r="A871" t="s">
        <v>81</v>
      </c>
      <c r="B871" t="s">
        <v>82</v>
      </c>
      <c r="C871" t="s">
        <v>37</v>
      </c>
      <c r="D871" t="s">
        <v>38</v>
      </c>
      <c r="E871">
        <v>2024</v>
      </c>
      <c r="F871" t="s">
        <v>83</v>
      </c>
      <c r="G871" t="s">
        <v>85</v>
      </c>
      <c r="I871" s="9"/>
      <c r="J871" t="s">
        <v>67</v>
      </c>
      <c r="K871" t="s">
        <v>68</v>
      </c>
    </row>
    <row r="872" spans="1:11" hidden="1" x14ac:dyDescent="0.25">
      <c r="A872" t="s">
        <v>81</v>
      </c>
      <c r="B872" t="s">
        <v>82</v>
      </c>
      <c r="C872" t="s">
        <v>39</v>
      </c>
      <c r="D872" t="s">
        <v>40</v>
      </c>
      <c r="E872">
        <v>2019</v>
      </c>
      <c r="F872" t="s">
        <v>83</v>
      </c>
      <c r="G872" t="s">
        <v>85</v>
      </c>
      <c r="H872">
        <v>756.29794971486501</v>
      </c>
      <c r="I872" s="9"/>
      <c r="J872" t="s">
        <v>67</v>
      </c>
      <c r="K872" t="s">
        <v>68</v>
      </c>
    </row>
    <row r="873" spans="1:11" hidden="1" x14ac:dyDescent="0.25">
      <c r="A873" t="s">
        <v>81</v>
      </c>
      <c r="B873" t="s">
        <v>82</v>
      </c>
      <c r="C873" t="s">
        <v>39</v>
      </c>
      <c r="D873" t="s">
        <v>40</v>
      </c>
      <c r="E873">
        <v>2020</v>
      </c>
      <c r="F873" t="s">
        <v>83</v>
      </c>
      <c r="G873" t="s">
        <v>85</v>
      </c>
      <c r="H873">
        <v>843.44402422482403</v>
      </c>
      <c r="I873" s="9">
        <v>87.146074509959021</v>
      </c>
      <c r="J873" t="s">
        <v>67</v>
      </c>
      <c r="K873" t="s">
        <v>68</v>
      </c>
    </row>
    <row r="874" spans="1:11" hidden="1" x14ac:dyDescent="0.25">
      <c r="A874" t="s">
        <v>81</v>
      </c>
      <c r="B874" t="s">
        <v>82</v>
      </c>
      <c r="C874" t="s">
        <v>39</v>
      </c>
      <c r="D874" t="s">
        <v>40</v>
      </c>
      <c r="E874">
        <v>2021</v>
      </c>
      <c r="F874" t="s">
        <v>83</v>
      </c>
      <c r="G874" t="s">
        <v>85</v>
      </c>
      <c r="H874">
        <v>869.893956982139</v>
      </c>
      <c r="I874" s="9">
        <v>26.449932757314969</v>
      </c>
      <c r="J874" t="s">
        <v>67</v>
      </c>
      <c r="K874" t="s">
        <v>68</v>
      </c>
    </row>
    <row r="875" spans="1:11" hidden="1" x14ac:dyDescent="0.25">
      <c r="A875" t="s">
        <v>81</v>
      </c>
      <c r="B875" t="s">
        <v>82</v>
      </c>
      <c r="C875" t="s">
        <v>39</v>
      </c>
      <c r="D875" t="s">
        <v>40</v>
      </c>
      <c r="E875">
        <v>2022</v>
      </c>
      <c r="F875" t="s">
        <v>83</v>
      </c>
      <c r="G875" t="s">
        <v>85</v>
      </c>
      <c r="H875">
        <v>927.803455822709</v>
      </c>
      <c r="I875" s="9">
        <v>57.909498840569995</v>
      </c>
      <c r="J875" t="s">
        <v>67</v>
      </c>
      <c r="K875" t="s">
        <v>68</v>
      </c>
    </row>
    <row r="876" spans="1:11" hidden="1" x14ac:dyDescent="0.25">
      <c r="A876" t="s">
        <v>81</v>
      </c>
      <c r="B876" t="s">
        <v>82</v>
      </c>
      <c r="C876" t="s">
        <v>39</v>
      </c>
      <c r="D876" t="s">
        <v>40</v>
      </c>
      <c r="E876">
        <v>2023</v>
      </c>
      <c r="F876" t="s">
        <v>83</v>
      </c>
      <c r="G876" t="s">
        <v>85</v>
      </c>
      <c r="H876">
        <v>970.41862075319</v>
      </c>
      <c r="I876" s="9">
        <v>42.615164930481001</v>
      </c>
      <c r="J876" t="s">
        <v>67</v>
      </c>
      <c r="K876" t="s">
        <v>68</v>
      </c>
    </row>
    <row r="877" spans="1:11" hidden="1" x14ac:dyDescent="0.25">
      <c r="A877" t="s">
        <v>81</v>
      </c>
      <c r="B877" t="s">
        <v>82</v>
      </c>
      <c r="C877" t="s">
        <v>39</v>
      </c>
      <c r="D877" t="s">
        <v>40</v>
      </c>
      <c r="E877">
        <v>2024</v>
      </c>
      <c r="F877" t="s">
        <v>83</v>
      </c>
      <c r="G877" t="s">
        <v>85</v>
      </c>
      <c r="H877">
        <v>976.676808209618</v>
      </c>
      <c r="I877" s="9">
        <v>6.2581874564280042</v>
      </c>
      <c r="J877" t="s">
        <v>67</v>
      </c>
      <c r="K877" t="s">
        <v>68</v>
      </c>
    </row>
    <row r="878" spans="1:11" hidden="1" x14ac:dyDescent="0.25">
      <c r="A878" t="s">
        <v>81</v>
      </c>
      <c r="B878" t="s">
        <v>82</v>
      </c>
      <c r="C878" t="s">
        <v>55</v>
      </c>
      <c r="D878" t="s">
        <v>56</v>
      </c>
      <c r="E878">
        <v>2019</v>
      </c>
      <c r="F878" t="s">
        <v>83</v>
      </c>
      <c r="G878" t="s">
        <v>85</v>
      </c>
      <c r="H878">
        <v>532.81608097105004</v>
      </c>
      <c r="I878" s="9"/>
      <c r="J878" t="s">
        <v>67</v>
      </c>
      <c r="K878" t="s">
        <v>68</v>
      </c>
    </row>
    <row r="879" spans="1:11" hidden="1" x14ac:dyDescent="0.25">
      <c r="A879" t="s">
        <v>81</v>
      </c>
      <c r="B879" t="s">
        <v>82</v>
      </c>
      <c r="C879" t="s">
        <v>55</v>
      </c>
      <c r="D879" t="s">
        <v>56</v>
      </c>
      <c r="E879">
        <v>2020</v>
      </c>
      <c r="F879" t="s">
        <v>83</v>
      </c>
      <c r="G879" t="s">
        <v>85</v>
      </c>
      <c r="H879">
        <v>514.19676256272305</v>
      </c>
      <c r="I879" s="9">
        <v>-18.61931840832699</v>
      </c>
      <c r="J879" t="s">
        <v>67</v>
      </c>
      <c r="K879" t="s">
        <v>68</v>
      </c>
    </row>
    <row r="880" spans="1:11" hidden="1" x14ac:dyDescent="0.25">
      <c r="A880" t="s">
        <v>81</v>
      </c>
      <c r="B880" t="s">
        <v>82</v>
      </c>
      <c r="C880" t="s">
        <v>55</v>
      </c>
      <c r="D880" t="s">
        <v>56</v>
      </c>
      <c r="E880">
        <v>2021</v>
      </c>
      <c r="F880" t="s">
        <v>83</v>
      </c>
      <c r="G880" t="s">
        <v>85</v>
      </c>
      <c r="H880">
        <v>589.10986507015105</v>
      </c>
      <c r="I880" s="9">
        <v>74.913102507427993</v>
      </c>
      <c r="J880" t="s">
        <v>67</v>
      </c>
      <c r="K880" t="s">
        <v>68</v>
      </c>
    </row>
    <row r="881" spans="1:11" hidden="1" x14ac:dyDescent="0.25">
      <c r="A881" t="s">
        <v>81</v>
      </c>
      <c r="B881" t="s">
        <v>82</v>
      </c>
      <c r="C881" t="s">
        <v>55</v>
      </c>
      <c r="D881" t="s">
        <v>56</v>
      </c>
      <c r="E881">
        <v>2022</v>
      </c>
      <c r="F881" t="s">
        <v>83</v>
      </c>
      <c r="G881" t="s">
        <v>85</v>
      </c>
      <c r="H881">
        <v>606.48326153413495</v>
      </c>
      <c r="I881" s="9">
        <v>17.373396463983909</v>
      </c>
      <c r="J881" t="s">
        <v>67</v>
      </c>
      <c r="K881" t="s">
        <v>68</v>
      </c>
    </row>
    <row r="882" spans="1:11" hidden="1" x14ac:dyDescent="0.25">
      <c r="A882" t="s">
        <v>81</v>
      </c>
      <c r="B882" t="s">
        <v>82</v>
      </c>
      <c r="C882" t="s">
        <v>55</v>
      </c>
      <c r="D882" t="s">
        <v>56</v>
      </c>
      <c r="E882">
        <v>2023</v>
      </c>
      <c r="F882" t="s">
        <v>83</v>
      </c>
      <c r="G882" t="s">
        <v>85</v>
      </c>
      <c r="H882">
        <v>641.86852841906796</v>
      </c>
      <c r="I882" s="9">
        <v>35.385266884933003</v>
      </c>
      <c r="J882" t="s">
        <v>67</v>
      </c>
      <c r="K882" t="s">
        <v>68</v>
      </c>
    </row>
    <row r="883" spans="1:11" hidden="1" x14ac:dyDescent="0.25">
      <c r="A883" t="s">
        <v>81</v>
      </c>
      <c r="B883" t="s">
        <v>82</v>
      </c>
      <c r="C883" t="s">
        <v>55</v>
      </c>
      <c r="D883" t="s">
        <v>56</v>
      </c>
      <c r="E883">
        <v>2024</v>
      </c>
      <c r="F883" t="s">
        <v>83</v>
      </c>
      <c r="G883" t="s">
        <v>85</v>
      </c>
      <c r="I883" s="9"/>
      <c r="J883" t="s">
        <v>67</v>
      </c>
      <c r="K883" t="s">
        <v>68</v>
      </c>
    </row>
    <row r="884" spans="1:11" hidden="1" x14ac:dyDescent="0.25">
      <c r="A884" t="s">
        <v>81</v>
      </c>
      <c r="B884" t="s">
        <v>82</v>
      </c>
      <c r="C884" t="s">
        <v>41</v>
      </c>
      <c r="D884" t="s">
        <v>42</v>
      </c>
      <c r="E884">
        <v>2019</v>
      </c>
      <c r="F884" t="s">
        <v>83</v>
      </c>
      <c r="G884" t="s">
        <v>85</v>
      </c>
      <c r="I884" s="9"/>
      <c r="J884" t="s">
        <v>67</v>
      </c>
      <c r="K884" t="s">
        <v>68</v>
      </c>
    </row>
    <row r="885" spans="1:11" hidden="1" x14ac:dyDescent="0.25">
      <c r="A885" t="s">
        <v>81</v>
      </c>
      <c r="B885" t="s">
        <v>82</v>
      </c>
      <c r="C885" t="s">
        <v>41</v>
      </c>
      <c r="D885" t="s">
        <v>42</v>
      </c>
      <c r="E885">
        <v>2020</v>
      </c>
      <c r="F885" t="s">
        <v>83</v>
      </c>
      <c r="G885" t="s">
        <v>85</v>
      </c>
      <c r="I885" s="9"/>
      <c r="J885" t="s">
        <v>67</v>
      </c>
      <c r="K885" t="s">
        <v>68</v>
      </c>
    </row>
    <row r="886" spans="1:11" hidden="1" x14ac:dyDescent="0.25">
      <c r="A886" t="s">
        <v>81</v>
      </c>
      <c r="B886" t="s">
        <v>82</v>
      </c>
      <c r="C886" t="s">
        <v>41</v>
      </c>
      <c r="D886" t="s">
        <v>42</v>
      </c>
      <c r="E886">
        <v>2021</v>
      </c>
      <c r="F886" t="s">
        <v>83</v>
      </c>
      <c r="G886" t="s">
        <v>85</v>
      </c>
      <c r="I886" s="9"/>
      <c r="J886" t="s">
        <v>67</v>
      </c>
      <c r="K886" t="s">
        <v>68</v>
      </c>
    </row>
    <row r="887" spans="1:11" hidden="1" x14ac:dyDescent="0.25">
      <c r="A887" t="s">
        <v>81</v>
      </c>
      <c r="B887" t="s">
        <v>82</v>
      </c>
      <c r="C887" t="s">
        <v>41</v>
      </c>
      <c r="D887" t="s">
        <v>42</v>
      </c>
      <c r="E887">
        <v>2022</v>
      </c>
      <c r="F887" t="s">
        <v>83</v>
      </c>
      <c r="G887" t="s">
        <v>85</v>
      </c>
      <c r="I887" s="9"/>
      <c r="J887" t="s">
        <v>67</v>
      </c>
      <c r="K887" t="s">
        <v>68</v>
      </c>
    </row>
    <row r="888" spans="1:11" hidden="1" x14ac:dyDescent="0.25">
      <c r="A888" t="s">
        <v>81</v>
      </c>
      <c r="B888" t="s">
        <v>82</v>
      </c>
      <c r="C888" t="s">
        <v>41</v>
      </c>
      <c r="D888" t="s">
        <v>42</v>
      </c>
      <c r="E888">
        <v>2023</v>
      </c>
      <c r="F888" t="s">
        <v>83</v>
      </c>
      <c r="G888" t="s">
        <v>85</v>
      </c>
      <c r="I888" s="9"/>
      <c r="J888" t="s">
        <v>67</v>
      </c>
      <c r="K888" t="s">
        <v>68</v>
      </c>
    </row>
    <row r="889" spans="1:11" hidden="1" x14ac:dyDescent="0.25">
      <c r="A889" t="s">
        <v>81</v>
      </c>
      <c r="B889" t="s">
        <v>82</v>
      </c>
      <c r="C889" t="s">
        <v>41</v>
      </c>
      <c r="D889" t="s">
        <v>42</v>
      </c>
      <c r="E889">
        <v>2024</v>
      </c>
      <c r="F889" t="s">
        <v>83</v>
      </c>
      <c r="G889" t="s">
        <v>85</v>
      </c>
      <c r="I889" s="9"/>
      <c r="J889" t="s">
        <v>67</v>
      </c>
      <c r="K889" t="s">
        <v>68</v>
      </c>
    </row>
    <row r="890" spans="1:11" hidden="1" x14ac:dyDescent="0.25">
      <c r="A890" t="s">
        <v>81</v>
      </c>
      <c r="B890" t="s">
        <v>82</v>
      </c>
      <c r="C890" t="s">
        <v>43</v>
      </c>
      <c r="D890" t="s">
        <v>44</v>
      </c>
      <c r="E890">
        <v>2019</v>
      </c>
      <c r="F890" t="s">
        <v>83</v>
      </c>
      <c r="G890" t="s">
        <v>85</v>
      </c>
      <c r="I890" s="9"/>
      <c r="J890" t="s">
        <v>67</v>
      </c>
      <c r="K890" t="s">
        <v>68</v>
      </c>
    </row>
    <row r="891" spans="1:11" hidden="1" x14ac:dyDescent="0.25">
      <c r="A891" t="s">
        <v>81</v>
      </c>
      <c r="B891" t="s">
        <v>82</v>
      </c>
      <c r="C891" t="s">
        <v>43</v>
      </c>
      <c r="D891" t="s">
        <v>44</v>
      </c>
      <c r="E891">
        <v>2020</v>
      </c>
      <c r="F891" t="s">
        <v>83</v>
      </c>
      <c r="G891" t="s">
        <v>85</v>
      </c>
      <c r="I891" s="9"/>
      <c r="J891" t="s">
        <v>67</v>
      </c>
      <c r="K891" t="s">
        <v>68</v>
      </c>
    </row>
    <row r="892" spans="1:11" hidden="1" x14ac:dyDescent="0.25">
      <c r="A892" t="s">
        <v>81</v>
      </c>
      <c r="B892" t="s">
        <v>82</v>
      </c>
      <c r="C892" t="s">
        <v>43</v>
      </c>
      <c r="D892" t="s">
        <v>44</v>
      </c>
      <c r="E892">
        <v>2021</v>
      </c>
      <c r="F892" t="s">
        <v>83</v>
      </c>
      <c r="G892" t="s">
        <v>85</v>
      </c>
      <c r="I892" s="9"/>
      <c r="J892" t="s">
        <v>67</v>
      </c>
      <c r="K892" t="s">
        <v>68</v>
      </c>
    </row>
    <row r="893" spans="1:11" hidden="1" x14ac:dyDescent="0.25">
      <c r="A893" t="s">
        <v>81</v>
      </c>
      <c r="B893" t="s">
        <v>82</v>
      </c>
      <c r="C893" t="s">
        <v>43</v>
      </c>
      <c r="D893" t="s">
        <v>44</v>
      </c>
      <c r="E893">
        <v>2022</v>
      </c>
      <c r="F893" t="s">
        <v>83</v>
      </c>
      <c r="G893" t="s">
        <v>85</v>
      </c>
      <c r="I893" s="9"/>
      <c r="J893" t="s">
        <v>67</v>
      </c>
      <c r="K893" t="s">
        <v>68</v>
      </c>
    </row>
    <row r="894" spans="1:11" hidden="1" x14ac:dyDescent="0.25">
      <c r="A894" t="s">
        <v>81</v>
      </c>
      <c r="B894" t="s">
        <v>82</v>
      </c>
      <c r="C894" t="s">
        <v>43</v>
      </c>
      <c r="D894" t="s">
        <v>44</v>
      </c>
      <c r="E894">
        <v>2023</v>
      </c>
      <c r="F894" t="s">
        <v>83</v>
      </c>
      <c r="G894" t="s">
        <v>85</v>
      </c>
      <c r="I894" s="9"/>
      <c r="J894" t="s">
        <v>67</v>
      </c>
      <c r="K894" t="s">
        <v>68</v>
      </c>
    </row>
    <row r="895" spans="1:11" hidden="1" x14ac:dyDescent="0.25">
      <c r="A895" t="s">
        <v>81</v>
      </c>
      <c r="B895" t="s">
        <v>82</v>
      </c>
      <c r="C895" t="s">
        <v>43</v>
      </c>
      <c r="D895" t="s">
        <v>44</v>
      </c>
      <c r="E895">
        <v>2024</v>
      </c>
      <c r="F895" t="s">
        <v>83</v>
      </c>
      <c r="G895" t="s">
        <v>85</v>
      </c>
      <c r="I895" s="9"/>
      <c r="J895" t="s">
        <v>67</v>
      </c>
      <c r="K895" t="s">
        <v>68</v>
      </c>
    </row>
    <row r="896" spans="1:11" hidden="1" x14ac:dyDescent="0.25">
      <c r="A896" t="s">
        <v>81</v>
      </c>
      <c r="B896" t="s">
        <v>82</v>
      </c>
      <c r="C896" t="s">
        <v>9</v>
      </c>
      <c r="D896" t="s">
        <v>10</v>
      </c>
      <c r="E896">
        <v>2019</v>
      </c>
      <c r="F896" t="s">
        <v>86</v>
      </c>
      <c r="G896" t="s">
        <v>87</v>
      </c>
      <c r="H896">
        <v>1215.6051602878799</v>
      </c>
      <c r="I896" s="9"/>
      <c r="J896" t="s">
        <v>67</v>
      </c>
      <c r="K896" t="s">
        <v>68</v>
      </c>
    </row>
    <row r="897" spans="1:11" hidden="1" x14ac:dyDescent="0.25">
      <c r="A897" t="s">
        <v>81</v>
      </c>
      <c r="B897" t="s">
        <v>82</v>
      </c>
      <c r="C897" t="s">
        <v>9</v>
      </c>
      <c r="D897" t="s">
        <v>10</v>
      </c>
      <c r="E897">
        <v>2020</v>
      </c>
      <c r="F897" t="s">
        <v>86</v>
      </c>
      <c r="G897" t="s">
        <v>87</v>
      </c>
      <c r="H897">
        <v>1210.31608485384</v>
      </c>
      <c r="I897" s="9">
        <v>-5.2890754340398871</v>
      </c>
      <c r="J897" t="s">
        <v>67</v>
      </c>
      <c r="K897" t="s">
        <v>68</v>
      </c>
    </row>
    <row r="898" spans="1:11" hidden="1" x14ac:dyDescent="0.25">
      <c r="A898" t="s">
        <v>81</v>
      </c>
      <c r="B898" t="s">
        <v>82</v>
      </c>
      <c r="C898" t="s">
        <v>9</v>
      </c>
      <c r="D898" t="s">
        <v>10</v>
      </c>
      <c r="E898">
        <v>2021</v>
      </c>
      <c r="F898" t="s">
        <v>86</v>
      </c>
      <c r="G898" t="s">
        <v>87</v>
      </c>
      <c r="H898">
        <v>1079.47927271924</v>
      </c>
      <c r="I898" s="9">
        <v>-130.8368121346</v>
      </c>
      <c r="J898" t="s">
        <v>67</v>
      </c>
      <c r="K898" t="s">
        <v>68</v>
      </c>
    </row>
    <row r="899" spans="1:11" hidden="1" x14ac:dyDescent="0.25">
      <c r="A899" t="s">
        <v>81</v>
      </c>
      <c r="B899" t="s">
        <v>82</v>
      </c>
      <c r="C899" t="s">
        <v>9</v>
      </c>
      <c r="D899" t="s">
        <v>10</v>
      </c>
      <c r="E899">
        <v>2022</v>
      </c>
      <c r="F899" t="s">
        <v>86</v>
      </c>
      <c r="G899" t="s">
        <v>87</v>
      </c>
      <c r="H899">
        <v>1130.50617282965</v>
      </c>
      <c r="I899" s="9">
        <v>51.026900110409997</v>
      </c>
      <c r="J899" t="s">
        <v>67</v>
      </c>
      <c r="K899" t="s">
        <v>68</v>
      </c>
    </row>
    <row r="900" spans="1:11" hidden="1" x14ac:dyDescent="0.25">
      <c r="A900" t="s">
        <v>81</v>
      </c>
      <c r="B900" t="s">
        <v>82</v>
      </c>
      <c r="C900" t="s">
        <v>9</v>
      </c>
      <c r="D900" t="s">
        <v>10</v>
      </c>
      <c r="E900">
        <v>2023</v>
      </c>
      <c r="F900" t="s">
        <v>86</v>
      </c>
      <c r="G900" t="s">
        <v>87</v>
      </c>
      <c r="H900">
        <v>1108.3665705870901</v>
      </c>
      <c r="I900" s="9">
        <v>-22.139602242559931</v>
      </c>
      <c r="J900" t="s">
        <v>67</v>
      </c>
      <c r="K900" t="s">
        <v>68</v>
      </c>
    </row>
    <row r="901" spans="1:11" hidden="1" x14ac:dyDescent="0.25">
      <c r="A901" t="s">
        <v>81</v>
      </c>
      <c r="B901" t="s">
        <v>82</v>
      </c>
      <c r="C901" t="s">
        <v>9</v>
      </c>
      <c r="D901" t="s">
        <v>10</v>
      </c>
      <c r="E901">
        <v>2024</v>
      </c>
      <c r="F901" t="s">
        <v>86</v>
      </c>
      <c r="G901" t="s">
        <v>87</v>
      </c>
      <c r="H901">
        <v>1132.13445136259</v>
      </c>
      <c r="I901" s="9">
        <v>23.767880775499862</v>
      </c>
      <c r="J901" t="s">
        <v>67</v>
      </c>
      <c r="K901" t="s">
        <v>68</v>
      </c>
    </row>
    <row r="902" spans="1:11" hidden="1" x14ac:dyDescent="0.25">
      <c r="A902" t="s">
        <v>81</v>
      </c>
      <c r="B902" t="s">
        <v>82</v>
      </c>
      <c r="C902" t="s">
        <v>11</v>
      </c>
      <c r="D902" t="s">
        <v>12</v>
      </c>
      <c r="E902">
        <v>2019</v>
      </c>
      <c r="F902" t="s">
        <v>86</v>
      </c>
      <c r="G902" t="s">
        <v>87</v>
      </c>
      <c r="H902">
        <v>977.13078998393303</v>
      </c>
      <c r="I902" s="9"/>
      <c r="J902" t="s">
        <v>67</v>
      </c>
      <c r="K902" t="s">
        <v>68</v>
      </c>
    </row>
    <row r="903" spans="1:11" hidden="1" x14ac:dyDescent="0.25">
      <c r="A903" t="s">
        <v>81</v>
      </c>
      <c r="B903" t="s">
        <v>82</v>
      </c>
      <c r="C903" t="s">
        <v>11</v>
      </c>
      <c r="D903" t="s">
        <v>12</v>
      </c>
      <c r="E903">
        <v>2020</v>
      </c>
      <c r="F903" t="s">
        <v>86</v>
      </c>
      <c r="G903" t="s">
        <v>87</v>
      </c>
      <c r="H903">
        <v>877.47126190265703</v>
      </c>
      <c r="I903" s="9">
        <v>-99.659528081275994</v>
      </c>
      <c r="J903" t="s">
        <v>67</v>
      </c>
      <c r="K903" t="s">
        <v>68</v>
      </c>
    </row>
    <row r="904" spans="1:11" hidden="1" x14ac:dyDescent="0.25">
      <c r="A904" t="s">
        <v>81</v>
      </c>
      <c r="B904" t="s">
        <v>82</v>
      </c>
      <c r="C904" t="s">
        <v>11</v>
      </c>
      <c r="D904" t="s">
        <v>12</v>
      </c>
      <c r="E904">
        <v>2021</v>
      </c>
      <c r="F904" t="s">
        <v>86</v>
      </c>
      <c r="G904" t="s">
        <v>87</v>
      </c>
      <c r="H904">
        <v>839.76076103803496</v>
      </c>
      <c r="I904" s="9">
        <v>-37.710500864622077</v>
      </c>
      <c r="J904" t="s">
        <v>67</v>
      </c>
      <c r="K904" t="s">
        <v>68</v>
      </c>
    </row>
    <row r="905" spans="1:11" hidden="1" x14ac:dyDescent="0.25">
      <c r="A905" t="s">
        <v>81</v>
      </c>
      <c r="B905" t="s">
        <v>82</v>
      </c>
      <c r="C905" t="s">
        <v>11</v>
      </c>
      <c r="D905" t="s">
        <v>12</v>
      </c>
      <c r="E905">
        <v>2022</v>
      </c>
      <c r="F905" t="s">
        <v>86</v>
      </c>
      <c r="G905" t="s">
        <v>87</v>
      </c>
      <c r="H905">
        <v>824.71604377361098</v>
      </c>
      <c r="I905" s="9">
        <v>-15.04471726442398</v>
      </c>
      <c r="J905" t="s">
        <v>67</v>
      </c>
      <c r="K905" t="s">
        <v>68</v>
      </c>
    </row>
    <row r="906" spans="1:11" hidden="1" x14ac:dyDescent="0.25">
      <c r="A906" t="s">
        <v>81</v>
      </c>
      <c r="B906" t="s">
        <v>82</v>
      </c>
      <c r="C906" t="s">
        <v>11</v>
      </c>
      <c r="D906" t="s">
        <v>12</v>
      </c>
      <c r="E906">
        <v>2023</v>
      </c>
      <c r="F906" t="s">
        <v>86</v>
      </c>
      <c r="G906" t="s">
        <v>87</v>
      </c>
      <c r="H906">
        <v>807.92779635070895</v>
      </c>
      <c r="I906" s="9">
        <v>-16.788247422902032</v>
      </c>
      <c r="J906" t="s">
        <v>67</v>
      </c>
      <c r="K906" t="s">
        <v>68</v>
      </c>
    </row>
    <row r="907" spans="1:11" hidden="1" x14ac:dyDescent="0.25">
      <c r="A907" t="s">
        <v>81</v>
      </c>
      <c r="B907" t="s">
        <v>82</v>
      </c>
      <c r="C907" t="s">
        <v>11</v>
      </c>
      <c r="D907" t="s">
        <v>12</v>
      </c>
      <c r="E907">
        <v>2024</v>
      </c>
      <c r="F907" t="s">
        <v>86</v>
      </c>
      <c r="G907" t="s">
        <v>87</v>
      </c>
      <c r="H907">
        <v>745.93055656470904</v>
      </c>
      <c r="I907" s="9">
        <v>-61.997239785999909</v>
      </c>
      <c r="J907" t="s">
        <v>67</v>
      </c>
      <c r="K907" t="s">
        <v>68</v>
      </c>
    </row>
    <row r="908" spans="1:11" hidden="1" x14ac:dyDescent="0.25">
      <c r="A908" t="s">
        <v>81</v>
      </c>
      <c r="B908" t="s">
        <v>82</v>
      </c>
      <c r="C908" t="s">
        <v>47</v>
      </c>
      <c r="D908" t="s">
        <v>48</v>
      </c>
      <c r="E908">
        <v>2019</v>
      </c>
      <c r="F908" t="s">
        <v>86</v>
      </c>
      <c r="G908" t="s">
        <v>87</v>
      </c>
      <c r="H908">
        <v>258.621998559274</v>
      </c>
      <c r="I908" s="9"/>
      <c r="J908" t="s">
        <v>67</v>
      </c>
      <c r="K908" t="s">
        <v>68</v>
      </c>
    </row>
    <row r="909" spans="1:11" hidden="1" x14ac:dyDescent="0.25">
      <c r="A909" t="s">
        <v>81</v>
      </c>
      <c r="B909" t="s">
        <v>82</v>
      </c>
      <c r="C909" t="s">
        <v>47</v>
      </c>
      <c r="D909" t="s">
        <v>48</v>
      </c>
      <c r="E909">
        <v>2020</v>
      </c>
      <c r="F909" t="s">
        <v>86</v>
      </c>
      <c r="G909" t="s">
        <v>87</v>
      </c>
      <c r="H909">
        <v>341.045437393741</v>
      </c>
      <c r="I909" s="9">
        <v>82.423438834466992</v>
      </c>
      <c r="J909" t="s">
        <v>67</v>
      </c>
      <c r="K909" t="s">
        <v>68</v>
      </c>
    </row>
    <row r="910" spans="1:11" hidden="1" x14ac:dyDescent="0.25">
      <c r="A910" t="s">
        <v>81</v>
      </c>
      <c r="B910" t="s">
        <v>82</v>
      </c>
      <c r="C910" t="s">
        <v>47</v>
      </c>
      <c r="D910" t="s">
        <v>48</v>
      </c>
      <c r="E910">
        <v>2021</v>
      </c>
      <c r="F910" t="s">
        <v>86</v>
      </c>
      <c r="G910" t="s">
        <v>87</v>
      </c>
      <c r="H910">
        <v>256.96862676624698</v>
      </c>
      <c r="I910" s="9">
        <v>-84.076810627494012</v>
      </c>
      <c r="J910" t="s">
        <v>67</v>
      </c>
      <c r="K910" t="s">
        <v>68</v>
      </c>
    </row>
    <row r="911" spans="1:11" hidden="1" x14ac:dyDescent="0.25">
      <c r="A911" t="s">
        <v>81</v>
      </c>
      <c r="B911" t="s">
        <v>82</v>
      </c>
      <c r="C911" t="s">
        <v>47</v>
      </c>
      <c r="D911" t="s">
        <v>48</v>
      </c>
      <c r="E911">
        <v>2022</v>
      </c>
      <c r="F911" t="s">
        <v>86</v>
      </c>
      <c r="G911" t="s">
        <v>87</v>
      </c>
      <c r="H911">
        <v>220.457660376869</v>
      </c>
      <c r="I911" s="9">
        <v>-36.510966389377984</v>
      </c>
      <c r="J911" t="s">
        <v>67</v>
      </c>
      <c r="K911" t="s">
        <v>68</v>
      </c>
    </row>
    <row r="912" spans="1:11" hidden="1" x14ac:dyDescent="0.25">
      <c r="A912" t="s">
        <v>81</v>
      </c>
      <c r="B912" t="s">
        <v>82</v>
      </c>
      <c r="C912" t="s">
        <v>47</v>
      </c>
      <c r="D912" t="s">
        <v>48</v>
      </c>
      <c r="E912">
        <v>2023</v>
      </c>
      <c r="F912" t="s">
        <v>86</v>
      </c>
      <c r="G912" t="s">
        <v>87</v>
      </c>
      <c r="H912">
        <v>261.83010239944298</v>
      </c>
      <c r="I912" s="9">
        <v>41.372442022573978</v>
      </c>
      <c r="J912" t="s">
        <v>67</v>
      </c>
      <c r="K912" t="s">
        <v>68</v>
      </c>
    </row>
    <row r="913" spans="1:11" hidden="1" x14ac:dyDescent="0.25">
      <c r="A913" t="s">
        <v>81</v>
      </c>
      <c r="B913" t="s">
        <v>82</v>
      </c>
      <c r="C913" t="s">
        <v>47</v>
      </c>
      <c r="D913" t="s">
        <v>48</v>
      </c>
      <c r="E913">
        <v>2024</v>
      </c>
      <c r="F913" t="s">
        <v>86</v>
      </c>
      <c r="G913" t="s">
        <v>87</v>
      </c>
      <c r="H913">
        <v>266.08390471160499</v>
      </c>
      <c r="I913" s="9">
        <v>4.2538023121620085</v>
      </c>
      <c r="J913" t="s">
        <v>67</v>
      </c>
      <c r="K913" t="s">
        <v>68</v>
      </c>
    </row>
    <row r="914" spans="1:11" hidden="1" x14ac:dyDescent="0.25">
      <c r="A914" t="s">
        <v>81</v>
      </c>
      <c r="B914" t="s">
        <v>82</v>
      </c>
      <c r="C914" t="s">
        <v>13</v>
      </c>
      <c r="D914" t="s">
        <v>14</v>
      </c>
      <c r="E914">
        <v>2019</v>
      </c>
      <c r="F914" t="s">
        <v>86</v>
      </c>
      <c r="G914" t="s">
        <v>87</v>
      </c>
      <c r="H914">
        <v>750.10649358820604</v>
      </c>
      <c r="I914" s="9"/>
      <c r="J914" t="s">
        <v>67</v>
      </c>
      <c r="K914" t="s">
        <v>68</v>
      </c>
    </row>
    <row r="915" spans="1:11" hidden="1" x14ac:dyDescent="0.25">
      <c r="A915" t="s">
        <v>81</v>
      </c>
      <c r="B915" t="s">
        <v>82</v>
      </c>
      <c r="C915" t="s">
        <v>13</v>
      </c>
      <c r="D915" t="s">
        <v>14</v>
      </c>
      <c r="E915">
        <v>2020</v>
      </c>
      <c r="F915" t="s">
        <v>86</v>
      </c>
      <c r="G915" t="s">
        <v>87</v>
      </c>
      <c r="H915">
        <v>802.19148086494704</v>
      </c>
      <c r="I915" s="9">
        <v>52.084987276741003</v>
      </c>
      <c r="J915" t="s">
        <v>67</v>
      </c>
      <c r="K915" t="s">
        <v>68</v>
      </c>
    </row>
    <row r="916" spans="1:11" hidden="1" x14ac:dyDescent="0.25">
      <c r="A916" t="s">
        <v>81</v>
      </c>
      <c r="B916" t="s">
        <v>82</v>
      </c>
      <c r="C916" t="s">
        <v>13</v>
      </c>
      <c r="D916" t="s">
        <v>14</v>
      </c>
      <c r="E916">
        <v>2021</v>
      </c>
      <c r="F916" t="s">
        <v>86</v>
      </c>
      <c r="G916" t="s">
        <v>87</v>
      </c>
      <c r="H916">
        <v>1092.9169687695901</v>
      </c>
      <c r="I916" s="9">
        <v>290.72548790464305</v>
      </c>
      <c r="J916" t="s">
        <v>67</v>
      </c>
      <c r="K916" t="s">
        <v>68</v>
      </c>
    </row>
    <row r="917" spans="1:11" hidden="1" x14ac:dyDescent="0.25">
      <c r="A917" t="s">
        <v>81</v>
      </c>
      <c r="B917" t="s">
        <v>82</v>
      </c>
      <c r="C917" t="s">
        <v>13</v>
      </c>
      <c r="D917" t="s">
        <v>14</v>
      </c>
      <c r="E917">
        <v>2022</v>
      </c>
      <c r="F917" t="s">
        <v>86</v>
      </c>
      <c r="G917" t="s">
        <v>87</v>
      </c>
      <c r="H917">
        <v>1223.8795914024399</v>
      </c>
      <c r="I917" s="9">
        <v>130.96262263284984</v>
      </c>
      <c r="J917" t="s">
        <v>67</v>
      </c>
      <c r="K917" t="s">
        <v>68</v>
      </c>
    </row>
    <row r="918" spans="1:11" hidden="1" x14ac:dyDescent="0.25">
      <c r="A918" t="s">
        <v>81</v>
      </c>
      <c r="B918" t="s">
        <v>82</v>
      </c>
      <c r="C918" t="s">
        <v>13</v>
      </c>
      <c r="D918" t="s">
        <v>14</v>
      </c>
      <c r="E918">
        <v>2023</v>
      </c>
      <c r="F918" t="s">
        <v>86</v>
      </c>
      <c r="G918" t="s">
        <v>87</v>
      </c>
      <c r="H918">
        <v>1219.44008289063</v>
      </c>
      <c r="I918" s="9">
        <v>-4.4395085118098905</v>
      </c>
      <c r="J918" t="s">
        <v>67</v>
      </c>
      <c r="K918" t="s">
        <v>68</v>
      </c>
    </row>
    <row r="919" spans="1:11" hidden="1" x14ac:dyDescent="0.25">
      <c r="A919" t="s">
        <v>81</v>
      </c>
      <c r="B919" t="s">
        <v>82</v>
      </c>
      <c r="C919" t="s">
        <v>13</v>
      </c>
      <c r="D919" t="s">
        <v>14</v>
      </c>
      <c r="E919">
        <v>2024</v>
      </c>
      <c r="F919" t="s">
        <v>86</v>
      </c>
      <c r="G919" t="s">
        <v>87</v>
      </c>
      <c r="H919">
        <v>1387.5819546842699</v>
      </c>
      <c r="I919" s="9">
        <v>168.14187179363989</v>
      </c>
      <c r="J919" t="s">
        <v>67</v>
      </c>
      <c r="K919" t="s">
        <v>68</v>
      </c>
    </row>
    <row r="920" spans="1:11" hidden="1" x14ac:dyDescent="0.25">
      <c r="A920" t="s">
        <v>81</v>
      </c>
      <c r="B920" t="s">
        <v>82</v>
      </c>
      <c r="C920" t="s">
        <v>15</v>
      </c>
      <c r="D920" t="s">
        <v>16</v>
      </c>
      <c r="E920">
        <v>2019</v>
      </c>
      <c r="F920" t="s">
        <v>86</v>
      </c>
      <c r="G920" t="s">
        <v>87</v>
      </c>
      <c r="I920" s="9"/>
      <c r="J920" t="s">
        <v>67</v>
      </c>
      <c r="K920" t="s">
        <v>68</v>
      </c>
    </row>
    <row r="921" spans="1:11" hidden="1" x14ac:dyDescent="0.25">
      <c r="A921" t="s">
        <v>81</v>
      </c>
      <c r="B921" t="s">
        <v>82</v>
      </c>
      <c r="C921" t="s">
        <v>15</v>
      </c>
      <c r="D921" t="s">
        <v>16</v>
      </c>
      <c r="E921">
        <v>2020</v>
      </c>
      <c r="F921" t="s">
        <v>86</v>
      </c>
      <c r="G921" t="s">
        <v>87</v>
      </c>
      <c r="I921" s="9"/>
      <c r="J921" t="s">
        <v>67</v>
      </c>
      <c r="K921" t="s">
        <v>68</v>
      </c>
    </row>
    <row r="922" spans="1:11" hidden="1" x14ac:dyDescent="0.25">
      <c r="A922" t="s">
        <v>81</v>
      </c>
      <c r="B922" t="s">
        <v>82</v>
      </c>
      <c r="C922" t="s">
        <v>15</v>
      </c>
      <c r="D922" t="s">
        <v>16</v>
      </c>
      <c r="E922">
        <v>2021</v>
      </c>
      <c r="F922" t="s">
        <v>86</v>
      </c>
      <c r="G922" t="s">
        <v>87</v>
      </c>
      <c r="I922" s="9"/>
      <c r="J922" t="s">
        <v>67</v>
      </c>
      <c r="K922" t="s">
        <v>68</v>
      </c>
    </row>
    <row r="923" spans="1:11" hidden="1" x14ac:dyDescent="0.25">
      <c r="A923" t="s">
        <v>81</v>
      </c>
      <c r="B923" t="s">
        <v>82</v>
      </c>
      <c r="C923" t="s">
        <v>15</v>
      </c>
      <c r="D923" t="s">
        <v>16</v>
      </c>
      <c r="E923">
        <v>2022</v>
      </c>
      <c r="F923" t="s">
        <v>86</v>
      </c>
      <c r="G923" t="s">
        <v>87</v>
      </c>
      <c r="I923" s="9"/>
      <c r="J923" t="s">
        <v>67</v>
      </c>
      <c r="K923" t="s">
        <v>68</v>
      </c>
    </row>
    <row r="924" spans="1:11" hidden="1" x14ac:dyDescent="0.25">
      <c r="A924" t="s">
        <v>81</v>
      </c>
      <c r="B924" t="s">
        <v>82</v>
      </c>
      <c r="C924" t="s">
        <v>15</v>
      </c>
      <c r="D924" t="s">
        <v>16</v>
      </c>
      <c r="E924">
        <v>2023</v>
      </c>
      <c r="F924" t="s">
        <v>86</v>
      </c>
      <c r="G924" t="s">
        <v>87</v>
      </c>
      <c r="I924" s="9"/>
      <c r="J924" t="s">
        <v>67</v>
      </c>
      <c r="K924" t="s">
        <v>68</v>
      </c>
    </row>
    <row r="925" spans="1:11" hidden="1" x14ac:dyDescent="0.25">
      <c r="A925" t="s">
        <v>81</v>
      </c>
      <c r="B925" t="s">
        <v>82</v>
      </c>
      <c r="C925" t="s">
        <v>15</v>
      </c>
      <c r="D925" t="s">
        <v>16</v>
      </c>
      <c r="E925">
        <v>2024</v>
      </c>
      <c r="F925" t="s">
        <v>86</v>
      </c>
      <c r="G925" t="s">
        <v>87</v>
      </c>
      <c r="I925" s="9"/>
      <c r="J925" t="s">
        <v>67</v>
      </c>
      <c r="K925" t="s">
        <v>68</v>
      </c>
    </row>
    <row r="926" spans="1:11" hidden="1" x14ac:dyDescent="0.25">
      <c r="A926" t="s">
        <v>81</v>
      </c>
      <c r="B926" t="s">
        <v>82</v>
      </c>
      <c r="C926" t="s">
        <v>17</v>
      </c>
      <c r="D926" t="s">
        <v>18</v>
      </c>
      <c r="E926">
        <v>2019</v>
      </c>
      <c r="F926" t="s">
        <v>86</v>
      </c>
      <c r="G926" t="s">
        <v>87</v>
      </c>
      <c r="H926">
        <v>647.81078995319001</v>
      </c>
      <c r="I926" s="9"/>
      <c r="J926" t="s">
        <v>67</v>
      </c>
      <c r="K926" t="s">
        <v>68</v>
      </c>
    </row>
    <row r="927" spans="1:11" hidden="1" x14ac:dyDescent="0.25">
      <c r="A927" t="s">
        <v>81</v>
      </c>
      <c r="B927" t="s">
        <v>82</v>
      </c>
      <c r="C927" t="s">
        <v>17</v>
      </c>
      <c r="D927" t="s">
        <v>18</v>
      </c>
      <c r="E927">
        <v>2020</v>
      </c>
      <c r="F927" t="s">
        <v>86</v>
      </c>
      <c r="G927" t="s">
        <v>87</v>
      </c>
      <c r="H927">
        <v>671.99932160200103</v>
      </c>
      <c r="I927" s="9">
        <v>24.188531648811022</v>
      </c>
      <c r="J927" t="s">
        <v>67</v>
      </c>
      <c r="K927" t="s">
        <v>68</v>
      </c>
    </row>
    <row r="928" spans="1:11" hidden="1" x14ac:dyDescent="0.25">
      <c r="A928" t="s">
        <v>81</v>
      </c>
      <c r="B928" t="s">
        <v>82</v>
      </c>
      <c r="C928" t="s">
        <v>17</v>
      </c>
      <c r="D928" t="s">
        <v>18</v>
      </c>
      <c r="E928">
        <v>2021</v>
      </c>
      <c r="F928" t="s">
        <v>86</v>
      </c>
      <c r="G928" t="s">
        <v>87</v>
      </c>
      <c r="H928">
        <v>687.26103933662205</v>
      </c>
      <c r="I928" s="9">
        <v>15.261717734621016</v>
      </c>
      <c r="J928" t="s">
        <v>67</v>
      </c>
      <c r="K928" t="s">
        <v>68</v>
      </c>
    </row>
    <row r="929" spans="1:18" hidden="1" x14ac:dyDescent="0.25">
      <c r="A929" t="s">
        <v>81</v>
      </c>
      <c r="B929" t="s">
        <v>82</v>
      </c>
      <c r="C929" t="s">
        <v>17</v>
      </c>
      <c r="D929" t="s">
        <v>18</v>
      </c>
      <c r="E929">
        <v>2022</v>
      </c>
      <c r="F929" t="s">
        <v>86</v>
      </c>
      <c r="G929" t="s">
        <v>87</v>
      </c>
      <c r="H929">
        <v>681.82675708293198</v>
      </c>
      <c r="I929" s="9">
        <v>-5.4342822536900712</v>
      </c>
      <c r="J929" t="s">
        <v>67</v>
      </c>
      <c r="K929" t="s">
        <v>68</v>
      </c>
    </row>
    <row r="930" spans="1:18" hidden="1" x14ac:dyDescent="0.25">
      <c r="A930" t="s">
        <v>81</v>
      </c>
      <c r="B930" t="s">
        <v>82</v>
      </c>
      <c r="C930" t="s">
        <v>17</v>
      </c>
      <c r="D930" t="s">
        <v>18</v>
      </c>
      <c r="E930">
        <v>2023</v>
      </c>
      <c r="F930" t="s">
        <v>86</v>
      </c>
      <c r="G930" t="s">
        <v>87</v>
      </c>
      <c r="H930">
        <v>651.83471807616399</v>
      </c>
      <c r="I930" s="9">
        <v>-29.992039006767982</v>
      </c>
      <c r="J930" t="s">
        <v>67</v>
      </c>
      <c r="K930" t="s">
        <v>68</v>
      </c>
    </row>
    <row r="931" spans="1:18" hidden="1" x14ac:dyDescent="0.25">
      <c r="A931" t="s">
        <v>81</v>
      </c>
      <c r="B931" t="s">
        <v>82</v>
      </c>
      <c r="C931" t="s">
        <v>17</v>
      </c>
      <c r="D931" t="s">
        <v>18</v>
      </c>
      <c r="E931">
        <v>2024</v>
      </c>
      <c r="F931" t="s">
        <v>86</v>
      </c>
      <c r="G931" t="s">
        <v>87</v>
      </c>
      <c r="H931">
        <v>614.31660331718899</v>
      </c>
      <c r="I931" s="9">
        <v>-37.518114758975003</v>
      </c>
      <c r="J931" t="s">
        <v>67</v>
      </c>
      <c r="K931" t="s">
        <v>68</v>
      </c>
    </row>
    <row r="932" spans="1:18" hidden="1" x14ac:dyDescent="0.25">
      <c r="A932" t="s">
        <v>81</v>
      </c>
      <c r="B932" t="s">
        <v>82</v>
      </c>
      <c r="C932" t="s">
        <v>19</v>
      </c>
      <c r="D932" t="s">
        <v>20</v>
      </c>
      <c r="E932">
        <v>2019</v>
      </c>
      <c r="F932" t="s">
        <v>86</v>
      </c>
      <c r="G932" t="s">
        <v>87</v>
      </c>
      <c r="I932" s="9"/>
      <c r="J932" t="s">
        <v>67</v>
      </c>
      <c r="K932" t="s">
        <v>68</v>
      </c>
    </row>
    <row r="933" spans="1:18" hidden="1" x14ac:dyDescent="0.25">
      <c r="A933" t="s">
        <v>81</v>
      </c>
      <c r="B933" t="s">
        <v>82</v>
      </c>
      <c r="C933" t="s">
        <v>19</v>
      </c>
      <c r="D933" t="s">
        <v>20</v>
      </c>
      <c r="E933">
        <v>2020</v>
      </c>
      <c r="F933" t="s">
        <v>86</v>
      </c>
      <c r="G933" t="s">
        <v>87</v>
      </c>
      <c r="I933" s="9"/>
      <c r="J933" t="s">
        <v>67</v>
      </c>
      <c r="K933" t="s">
        <v>68</v>
      </c>
    </row>
    <row r="934" spans="1:18" hidden="1" x14ac:dyDescent="0.25">
      <c r="A934" t="s">
        <v>81</v>
      </c>
      <c r="B934" t="s">
        <v>82</v>
      </c>
      <c r="C934" t="s">
        <v>19</v>
      </c>
      <c r="D934" t="s">
        <v>20</v>
      </c>
      <c r="E934">
        <v>2021</v>
      </c>
      <c r="F934" t="s">
        <v>86</v>
      </c>
      <c r="G934" t="s">
        <v>87</v>
      </c>
      <c r="I934" s="9"/>
      <c r="J934" t="s">
        <v>67</v>
      </c>
      <c r="K934" t="s">
        <v>68</v>
      </c>
    </row>
    <row r="935" spans="1:18" hidden="1" x14ac:dyDescent="0.25">
      <c r="A935" t="s">
        <v>81</v>
      </c>
      <c r="B935" t="s">
        <v>82</v>
      </c>
      <c r="C935" t="s">
        <v>19</v>
      </c>
      <c r="D935" t="s">
        <v>20</v>
      </c>
      <c r="E935">
        <v>2022</v>
      </c>
      <c r="F935" t="s">
        <v>86</v>
      </c>
      <c r="G935" t="s">
        <v>87</v>
      </c>
      <c r="I935" s="9"/>
      <c r="J935" t="s">
        <v>67</v>
      </c>
      <c r="K935" t="s">
        <v>68</v>
      </c>
    </row>
    <row r="936" spans="1:18" hidden="1" x14ac:dyDescent="0.25">
      <c r="A936" t="s">
        <v>81</v>
      </c>
      <c r="B936" t="s">
        <v>82</v>
      </c>
      <c r="C936" t="s">
        <v>19</v>
      </c>
      <c r="D936" t="s">
        <v>20</v>
      </c>
      <c r="E936">
        <v>2023</v>
      </c>
      <c r="F936" t="s">
        <v>86</v>
      </c>
      <c r="G936" t="s">
        <v>87</v>
      </c>
      <c r="I936" s="9"/>
      <c r="J936" t="s">
        <v>67</v>
      </c>
      <c r="K936" t="s">
        <v>68</v>
      </c>
    </row>
    <row r="937" spans="1:18" hidden="1" x14ac:dyDescent="0.25">
      <c r="A937" t="s">
        <v>81</v>
      </c>
      <c r="B937" t="s">
        <v>82</v>
      </c>
      <c r="C937" t="s">
        <v>19</v>
      </c>
      <c r="D937" t="s">
        <v>20</v>
      </c>
      <c r="E937">
        <v>2024</v>
      </c>
      <c r="F937" t="s">
        <v>86</v>
      </c>
      <c r="G937" t="s">
        <v>87</v>
      </c>
      <c r="I937" s="9"/>
      <c r="J937" t="s">
        <v>67</v>
      </c>
      <c r="K937" t="s">
        <v>68</v>
      </c>
    </row>
    <row r="938" spans="1:18" hidden="1" x14ac:dyDescent="0.25">
      <c r="A938" t="s">
        <v>81</v>
      </c>
      <c r="B938" t="s">
        <v>82</v>
      </c>
      <c r="C938" t="s">
        <v>21</v>
      </c>
      <c r="D938" t="s">
        <v>22</v>
      </c>
      <c r="E938">
        <v>2019</v>
      </c>
      <c r="F938" t="s">
        <v>86</v>
      </c>
      <c r="G938" t="s">
        <v>87</v>
      </c>
      <c r="H938">
        <v>519.68532221441296</v>
      </c>
      <c r="I938" s="9"/>
      <c r="J938" t="s">
        <v>67</v>
      </c>
      <c r="K938" t="s">
        <v>68</v>
      </c>
    </row>
    <row r="939" spans="1:18" hidden="1" x14ac:dyDescent="0.25">
      <c r="A939" t="s">
        <v>81</v>
      </c>
      <c r="B939" t="s">
        <v>82</v>
      </c>
      <c r="C939" t="s">
        <v>21</v>
      </c>
      <c r="D939" t="s">
        <v>22</v>
      </c>
      <c r="E939">
        <v>2020</v>
      </c>
      <c r="F939" t="s">
        <v>86</v>
      </c>
      <c r="G939" t="s">
        <v>87</v>
      </c>
      <c r="H939">
        <v>565.76033776106397</v>
      </c>
      <c r="I939" s="9">
        <v>46.075015546651002</v>
      </c>
      <c r="J939" t="s">
        <v>67</v>
      </c>
      <c r="K939" t="s">
        <v>68</v>
      </c>
    </row>
    <row r="940" spans="1:18" hidden="1" x14ac:dyDescent="0.25">
      <c r="A940" t="s">
        <v>81</v>
      </c>
      <c r="B940" t="s">
        <v>82</v>
      </c>
      <c r="C940" t="s">
        <v>21</v>
      </c>
      <c r="D940" t="s">
        <v>22</v>
      </c>
      <c r="E940">
        <v>2021</v>
      </c>
      <c r="F940" t="s">
        <v>86</v>
      </c>
      <c r="G940" t="s">
        <v>87</v>
      </c>
      <c r="H940">
        <v>536.47315070792899</v>
      </c>
      <c r="I940" s="9">
        <v>-29.287187053134971</v>
      </c>
      <c r="J940" t="s">
        <v>67</v>
      </c>
      <c r="K940" t="s">
        <v>68</v>
      </c>
    </row>
    <row r="941" spans="1:18" hidden="1" x14ac:dyDescent="0.25">
      <c r="A941" t="s">
        <v>81</v>
      </c>
      <c r="B941" t="s">
        <v>82</v>
      </c>
      <c r="C941" t="s">
        <v>21</v>
      </c>
      <c r="D941" t="s">
        <v>22</v>
      </c>
      <c r="E941">
        <v>2022</v>
      </c>
      <c r="F941" t="s">
        <v>86</v>
      </c>
      <c r="G941" t="s">
        <v>87</v>
      </c>
      <c r="H941">
        <v>493.02167986367698</v>
      </c>
      <c r="I941" s="9">
        <v>-43.451470844252015</v>
      </c>
      <c r="J941" t="s">
        <v>67</v>
      </c>
      <c r="K941" t="s">
        <v>68</v>
      </c>
    </row>
    <row r="942" spans="1:18" hidden="1" x14ac:dyDescent="0.25">
      <c r="A942" t="s">
        <v>81</v>
      </c>
      <c r="B942" t="s">
        <v>82</v>
      </c>
      <c r="C942" t="s">
        <v>21</v>
      </c>
      <c r="D942" t="s">
        <v>22</v>
      </c>
      <c r="E942">
        <v>2023</v>
      </c>
      <c r="F942" t="s">
        <v>86</v>
      </c>
      <c r="G942" t="s">
        <v>87</v>
      </c>
      <c r="H942">
        <v>485.596975381444</v>
      </c>
      <c r="I942" s="9">
        <v>-7.4247044822329826</v>
      </c>
      <c r="J942" t="s">
        <v>67</v>
      </c>
      <c r="K942" t="s">
        <v>68</v>
      </c>
      <c r="Q942" t="s">
        <v>81</v>
      </c>
      <c r="R942" t="s">
        <v>82</v>
      </c>
    </row>
    <row r="943" spans="1:18" hidden="1" x14ac:dyDescent="0.25">
      <c r="A943" t="s">
        <v>81</v>
      </c>
      <c r="B943" t="s">
        <v>82</v>
      </c>
      <c r="C943" t="s">
        <v>21</v>
      </c>
      <c r="D943" t="s">
        <v>22</v>
      </c>
      <c r="E943">
        <v>2024</v>
      </c>
      <c r="F943" t="s">
        <v>86</v>
      </c>
      <c r="G943" t="s">
        <v>87</v>
      </c>
      <c r="I943" s="9"/>
      <c r="J943" t="s">
        <v>67</v>
      </c>
      <c r="K943" t="s">
        <v>68</v>
      </c>
    </row>
    <row r="944" spans="1:18" hidden="1" x14ac:dyDescent="0.25">
      <c r="A944" t="s">
        <v>81</v>
      </c>
      <c r="B944" t="s">
        <v>82</v>
      </c>
      <c r="C944" t="s">
        <v>23</v>
      </c>
      <c r="D944" t="s">
        <v>24</v>
      </c>
      <c r="E944">
        <v>2019</v>
      </c>
      <c r="F944" t="s">
        <v>86</v>
      </c>
      <c r="G944" t="s">
        <v>87</v>
      </c>
      <c r="H944">
        <v>46.33244515482</v>
      </c>
      <c r="I944" s="9"/>
      <c r="J944" t="s">
        <v>67</v>
      </c>
      <c r="K944" t="s">
        <v>68</v>
      </c>
    </row>
    <row r="945" spans="1:11" hidden="1" x14ac:dyDescent="0.25">
      <c r="A945" t="s">
        <v>81</v>
      </c>
      <c r="B945" t="s">
        <v>82</v>
      </c>
      <c r="C945" t="s">
        <v>23</v>
      </c>
      <c r="D945" t="s">
        <v>24</v>
      </c>
      <c r="E945">
        <v>2020</v>
      </c>
      <c r="F945" t="s">
        <v>86</v>
      </c>
      <c r="G945" t="s">
        <v>87</v>
      </c>
      <c r="H945">
        <v>55.895370677251798</v>
      </c>
      <c r="I945" s="9">
        <v>9.5629255224317973</v>
      </c>
      <c r="J945" t="s">
        <v>67</v>
      </c>
      <c r="K945" t="s">
        <v>68</v>
      </c>
    </row>
    <row r="946" spans="1:11" hidden="1" x14ac:dyDescent="0.25">
      <c r="A946" t="s">
        <v>81</v>
      </c>
      <c r="B946" t="s">
        <v>82</v>
      </c>
      <c r="C946" t="s">
        <v>23</v>
      </c>
      <c r="D946" t="s">
        <v>24</v>
      </c>
      <c r="E946">
        <v>2021</v>
      </c>
      <c r="F946" t="s">
        <v>86</v>
      </c>
      <c r="G946" t="s">
        <v>87</v>
      </c>
      <c r="H946">
        <v>59.215501154086503</v>
      </c>
      <c r="I946" s="9">
        <v>3.3201304768347057</v>
      </c>
      <c r="J946" t="s">
        <v>67</v>
      </c>
      <c r="K946" t="s">
        <v>68</v>
      </c>
    </row>
    <row r="947" spans="1:11" hidden="1" x14ac:dyDescent="0.25">
      <c r="A947" t="s">
        <v>81</v>
      </c>
      <c r="B947" t="s">
        <v>82</v>
      </c>
      <c r="C947" t="s">
        <v>23</v>
      </c>
      <c r="D947" t="s">
        <v>24</v>
      </c>
      <c r="E947">
        <v>2022</v>
      </c>
      <c r="F947" t="s">
        <v>86</v>
      </c>
      <c r="G947" t="s">
        <v>87</v>
      </c>
      <c r="H947">
        <v>69.321391295958904</v>
      </c>
      <c r="I947" s="9">
        <v>10.105890141872401</v>
      </c>
      <c r="J947" t="s">
        <v>67</v>
      </c>
      <c r="K947" t="s">
        <v>68</v>
      </c>
    </row>
    <row r="948" spans="1:11" hidden="1" x14ac:dyDescent="0.25">
      <c r="A948" t="s">
        <v>81</v>
      </c>
      <c r="B948" t="s">
        <v>82</v>
      </c>
      <c r="C948" t="s">
        <v>23</v>
      </c>
      <c r="D948" t="s">
        <v>24</v>
      </c>
      <c r="E948">
        <v>2023</v>
      </c>
      <c r="F948" t="s">
        <v>86</v>
      </c>
      <c r="G948" t="s">
        <v>87</v>
      </c>
      <c r="H948">
        <v>79.150726643267703</v>
      </c>
      <c r="I948" s="9">
        <v>9.829335347308799</v>
      </c>
      <c r="J948" t="s">
        <v>67</v>
      </c>
      <c r="K948" t="s">
        <v>68</v>
      </c>
    </row>
    <row r="949" spans="1:11" hidden="1" x14ac:dyDescent="0.25">
      <c r="A949" t="s">
        <v>81</v>
      </c>
      <c r="B949" t="s">
        <v>82</v>
      </c>
      <c r="C949" t="s">
        <v>23</v>
      </c>
      <c r="D949" t="s">
        <v>24</v>
      </c>
      <c r="E949">
        <v>2024</v>
      </c>
      <c r="F949" t="s">
        <v>86</v>
      </c>
      <c r="G949" t="s">
        <v>87</v>
      </c>
      <c r="H949">
        <v>93.0845529410621</v>
      </c>
      <c r="I949" s="9">
        <v>13.933826297794397</v>
      </c>
      <c r="J949" t="s">
        <v>67</v>
      </c>
      <c r="K949" t="s">
        <v>68</v>
      </c>
    </row>
    <row r="950" spans="1:11" hidden="1" x14ac:dyDescent="0.25">
      <c r="A950" t="s">
        <v>81</v>
      </c>
      <c r="B950" t="s">
        <v>82</v>
      </c>
      <c r="C950" t="s">
        <v>25</v>
      </c>
      <c r="D950" t="s">
        <v>26</v>
      </c>
      <c r="E950">
        <v>2019</v>
      </c>
      <c r="F950" t="s">
        <v>86</v>
      </c>
      <c r="G950" t="s">
        <v>87</v>
      </c>
      <c r="H950">
        <v>86.831121006526203</v>
      </c>
      <c r="I950" s="9"/>
      <c r="J950" t="s">
        <v>67</v>
      </c>
      <c r="K950" t="s">
        <v>68</v>
      </c>
    </row>
    <row r="951" spans="1:11" hidden="1" x14ac:dyDescent="0.25">
      <c r="A951" t="s">
        <v>81</v>
      </c>
      <c r="B951" t="s">
        <v>82</v>
      </c>
      <c r="C951" t="s">
        <v>25</v>
      </c>
      <c r="D951" t="s">
        <v>26</v>
      </c>
      <c r="E951">
        <v>2020</v>
      </c>
      <c r="F951" t="s">
        <v>86</v>
      </c>
      <c r="G951" t="s">
        <v>87</v>
      </c>
      <c r="H951">
        <v>83.113549050458801</v>
      </c>
      <c r="I951" s="9">
        <v>-3.7175719560674025</v>
      </c>
      <c r="J951" t="s">
        <v>67</v>
      </c>
      <c r="K951" t="s">
        <v>68</v>
      </c>
    </row>
    <row r="952" spans="1:11" hidden="1" x14ac:dyDescent="0.25">
      <c r="A952" t="s">
        <v>81</v>
      </c>
      <c r="B952" t="s">
        <v>82</v>
      </c>
      <c r="C952" t="s">
        <v>25</v>
      </c>
      <c r="D952" t="s">
        <v>26</v>
      </c>
      <c r="E952">
        <v>2021</v>
      </c>
      <c r="F952" t="s">
        <v>86</v>
      </c>
      <c r="G952" t="s">
        <v>87</v>
      </c>
      <c r="H952">
        <v>80.172266237113902</v>
      </c>
      <c r="I952" s="9">
        <v>-2.9412828133448983</v>
      </c>
      <c r="J952" t="s">
        <v>67</v>
      </c>
      <c r="K952" t="s">
        <v>68</v>
      </c>
    </row>
    <row r="953" spans="1:11" hidden="1" x14ac:dyDescent="0.25">
      <c r="A953" t="s">
        <v>81</v>
      </c>
      <c r="B953" t="s">
        <v>82</v>
      </c>
      <c r="C953" t="s">
        <v>25</v>
      </c>
      <c r="D953" t="s">
        <v>26</v>
      </c>
      <c r="E953">
        <v>2022</v>
      </c>
      <c r="F953" t="s">
        <v>86</v>
      </c>
      <c r="G953" t="s">
        <v>87</v>
      </c>
      <c r="H953">
        <v>82.544575048262899</v>
      </c>
      <c r="I953" s="9">
        <v>2.3723088111489972</v>
      </c>
      <c r="J953" t="s">
        <v>67</v>
      </c>
      <c r="K953" t="s">
        <v>68</v>
      </c>
    </row>
    <row r="954" spans="1:11" hidden="1" x14ac:dyDescent="0.25">
      <c r="A954" t="s">
        <v>81</v>
      </c>
      <c r="B954" t="s">
        <v>82</v>
      </c>
      <c r="C954" t="s">
        <v>25</v>
      </c>
      <c r="D954" t="s">
        <v>26</v>
      </c>
      <c r="E954">
        <v>2023</v>
      </c>
      <c r="F954" t="s">
        <v>86</v>
      </c>
      <c r="G954" t="s">
        <v>87</v>
      </c>
      <c r="H954">
        <v>83.986112967206296</v>
      </c>
      <c r="I954" s="9">
        <v>1.4415379189433963</v>
      </c>
      <c r="J954" t="s">
        <v>67</v>
      </c>
      <c r="K954" t="s">
        <v>68</v>
      </c>
    </row>
    <row r="955" spans="1:11" hidden="1" x14ac:dyDescent="0.25">
      <c r="A955" t="s">
        <v>81</v>
      </c>
      <c r="B955" t="s">
        <v>82</v>
      </c>
      <c r="C955" t="s">
        <v>25</v>
      </c>
      <c r="D955" t="s">
        <v>26</v>
      </c>
      <c r="E955">
        <v>2024</v>
      </c>
      <c r="F955" t="s">
        <v>86</v>
      </c>
      <c r="G955" t="s">
        <v>87</v>
      </c>
      <c r="H955">
        <v>86.779662342711404</v>
      </c>
      <c r="I955" s="9">
        <v>2.7935493755051084</v>
      </c>
      <c r="J955" t="s">
        <v>67</v>
      </c>
      <c r="K955" t="s">
        <v>68</v>
      </c>
    </row>
    <row r="956" spans="1:11" hidden="1" x14ac:dyDescent="0.25">
      <c r="A956" t="s">
        <v>81</v>
      </c>
      <c r="B956" t="s">
        <v>82</v>
      </c>
      <c r="C956" t="s">
        <v>27</v>
      </c>
      <c r="D956" t="s">
        <v>28</v>
      </c>
      <c r="E956">
        <v>2019</v>
      </c>
      <c r="F956" t="s">
        <v>86</v>
      </c>
      <c r="G956" t="s">
        <v>87</v>
      </c>
      <c r="H956">
        <v>296.90070619403701</v>
      </c>
      <c r="I956" s="9"/>
      <c r="J956" t="s">
        <v>67</v>
      </c>
      <c r="K956" t="s">
        <v>68</v>
      </c>
    </row>
    <row r="957" spans="1:11" hidden="1" x14ac:dyDescent="0.25">
      <c r="A957" t="s">
        <v>81</v>
      </c>
      <c r="B957" t="s">
        <v>82</v>
      </c>
      <c r="C957" t="s">
        <v>27</v>
      </c>
      <c r="D957" t="s">
        <v>28</v>
      </c>
      <c r="E957">
        <v>2020</v>
      </c>
      <c r="F957" t="s">
        <v>86</v>
      </c>
      <c r="G957" t="s">
        <v>87</v>
      </c>
      <c r="H957">
        <v>296.09904344744899</v>
      </c>
      <c r="I957" s="9">
        <v>-0.80166274658802195</v>
      </c>
      <c r="J957" t="s">
        <v>67</v>
      </c>
      <c r="K957" t="s">
        <v>68</v>
      </c>
    </row>
    <row r="958" spans="1:11" hidden="1" x14ac:dyDescent="0.25">
      <c r="A958" t="s">
        <v>81</v>
      </c>
      <c r="B958" t="s">
        <v>82</v>
      </c>
      <c r="C958" t="s">
        <v>27</v>
      </c>
      <c r="D958" t="s">
        <v>28</v>
      </c>
      <c r="E958">
        <v>2021</v>
      </c>
      <c r="F958" t="s">
        <v>86</v>
      </c>
      <c r="G958" t="s">
        <v>87</v>
      </c>
      <c r="H958">
        <v>265.45412491364999</v>
      </c>
      <c r="I958" s="9">
        <v>-30.644918533799</v>
      </c>
      <c r="J958" t="s">
        <v>67</v>
      </c>
      <c r="K958" t="s">
        <v>68</v>
      </c>
    </row>
    <row r="959" spans="1:11" hidden="1" x14ac:dyDescent="0.25">
      <c r="A959" t="s">
        <v>81</v>
      </c>
      <c r="B959" t="s">
        <v>82</v>
      </c>
      <c r="C959" t="s">
        <v>27</v>
      </c>
      <c r="D959" t="s">
        <v>28</v>
      </c>
      <c r="E959">
        <v>2022</v>
      </c>
      <c r="F959" t="s">
        <v>86</v>
      </c>
      <c r="G959" t="s">
        <v>87</v>
      </c>
      <c r="H959">
        <v>258.09444446292599</v>
      </c>
      <c r="I959" s="9">
        <v>-7.3596804507239995</v>
      </c>
      <c r="J959" t="s">
        <v>67</v>
      </c>
      <c r="K959" t="s">
        <v>68</v>
      </c>
    </row>
    <row r="960" spans="1:11" hidden="1" x14ac:dyDescent="0.25">
      <c r="A960" t="s">
        <v>81</v>
      </c>
      <c r="B960" t="s">
        <v>82</v>
      </c>
      <c r="C960" t="s">
        <v>27</v>
      </c>
      <c r="D960" t="s">
        <v>28</v>
      </c>
      <c r="E960">
        <v>2023</v>
      </c>
      <c r="F960" t="s">
        <v>86</v>
      </c>
      <c r="G960" t="s">
        <v>87</v>
      </c>
      <c r="H960">
        <v>282.37059014700799</v>
      </c>
      <c r="I960" s="9">
        <v>24.276145684081996</v>
      </c>
      <c r="J960" t="s">
        <v>67</v>
      </c>
      <c r="K960" t="s">
        <v>68</v>
      </c>
    </row>
    <row r="961" spans="1:11" hidden="1" x14ac:dyDescent="0.25">
      <c r="A961" t="s">
        <v>81</v>
      </c>
      <c r="B961" t="s">
        <v>82</v>
      </c>
      <c r="C961" t="s">
        <v>27</v>
      </c>
      <c r="D961" t="s">
        <v>28</v>
      </c>
      <c r="E961">
        <v>2024</v>
      </c>
      <c r="F961" t="s">
        <v>86</v>
      </c>
      <c r="G961" t="s">
        <v>87</v>
      </c>
      <c r="H961">
        <v>266.32045456539498</v>
      </c>
      <c r="I961" s="9">
        <v>-16.050135581613006</v>
      </c>
      <c r="J961" t="s">
        <v>67</v>
      </c>
      <c r="K961" t="s">
        <v>68</v>
      </c>
    </row>
    <row r="962" spans="1:11" hidden="1" x14ac:dyDescent="0.25">
      <c r="A962" t="s">
        <v>81</v>
      </c>
      <c r="B962" t="s">
        <v>82</v>
      </c>
      <c r="C962" t="s">
        <v>29</v>
      </c>
      <c r="D962" t="s">
        <v>30</v>
      </c>
      <c r="E962">
        <v>2019</v>
      </c>
      <c r="F962" t="s">
        <v>86</v>
      </c>
      <c r="G962" t="s">
        <v>87</v>
      </c>
      <c r="H962">
        <v>2558.6437101339402</v>
      </c>
      <c r="I962" s="9"/>
      <c r="J962" t="s">
        <v>67</v>
      </c>
      <c r="K962" t="s">
        <v>68</v>
      </c>
    </row>
    <row r="963" spans="1:11" hidden="1" x14ac:dyDescent="0.25">
      <c r="A963" t="s">
        <v>81</v>
      </c>
      <c r="B963" t="s">
        <v>82</v>
      </c>
      <c r="C963" t="s">
        <v>29</v>
      </c>
      <c r="D963" t="s">
        <v>30</v>
      </c>
      <c r="E963">
        <v>2020</v>
      </c>
      <c r="F963" t="s">
        <v>86</v>
      </c>
      <c r="G963" t="s">
        <v>87</v>
      </c>
      <c r="H963">
        <v>2643.30491359489</v>
      </c>
      <c r="I963" s="9">
        <v>84.661203460949764</v>
      </c>
      <c r="J963" t="s">
        <v>67</v>
      </c>
      <c r="K963" t="s">
        <v>68</v>
      </c>
    </row>
    <row r="964" spans="1:11" hidden="1" x14ac:dyDescent="0.25">
      <c r="A964" t="s">
        <v>81</v>
      </c>
      <c r="B964" t="s">
        <v>82</v>
      </c>
      <c r="C964" t="s">
        <v>29</v>
      </c>
      <c r="D964" t="s">
        <v>30</v>
      </c>
      <c r="E964">
        <v>2021</v>
      </c>
      <c r="F964" t="s">
        <v>86</v>
      </c>
      <c r="G964" t="s">
        <v>87</v>
      </c>
      <c r="H964">
        <v>2671.5423090303598</v>
      </c>
      <c r="I964" s="9">
        <v>28.237395435469807</v>
      </c>
      <c r="J964" t="s">
        <v>67</v>
      </c>
      <c r="K964" t="s">
        <v>68</v>
      </c>
    </row>
    <row r="965" spans="1:11" hidden="1" x14ac:dyDescent="0.25">
      <c r="A965" t="s">
        <v>81</v>
      </c>
      <c r="B965" t="s">
        <v>82</v>
      </c>
      <c r="C965" t="s">
        <v>29</v>
      </c>
      <c r="D965" t="s">
        <v>30</v>
      </c>
      <c r="E965">
        <v>2022</v>
      </c>
      <c r="F965" t="s">
        <v>86</v>
      </c>
      <c r="G965" t="s">
        <v>87</v>
      </c>
      <c r="H965">
        <v>2729.34593914381</v>
      </c>
      <c r="I965" s="9">
        <v>57.803630113450254</v>
      </c>
      <c r="J965" t="s">
        <v>67</v>
      </c>
      <c r="K965" t="s">
        <v>68</v>
      </c>
    </row>
    <row r="966" spans="1:11" hidden="1" x14ac:dyDescent="0.25">
      <c r="A966" t="s">
        <v>81</v>
      </c>
      <c r="B966" t="s">
        <v>82</v>
      </c>
      <c r="C966" t="s">
        <v>29</v>
      </c>
      <c r="D966" t="s">
        <v>30</v>
      </c>
      <c r="E966">
        <v>2023</v>
      </c>
      <c r="F966" t="s">
        <v>86</v>
      </c>
      <c r="G966" t="s">
        <v>87</v>
      </c>
      <c r="H966">
        <v>2805.1652564121</v>
      </c>
      <c r="I966" s="9">
        <v>75.819317268289979</v>
      </c>
      <c r="J966" t="s">
        <v>67</v>
      </c>
      <c r="K966" t="s">
        <v>68</v>
      </c>
    </row>
    <row r="967" spans="1:11" hidden="1" x14ac:dyDescent="0.25">
      <c r="A967" t="s">
        <v>81</v>
      </c>
      <c r="B967" t="s">
        <v>82</v>
      </c>
      <c r="C967" t="s">
        <v>29</v>
      </c>
      <c r="D967" t="s">
        <v>30</v>
      </c>
      <c r="E967">
        <v>2024</v>
      </c>
      <c r="F967" t="s">
        <v>86</v>
      </c>
      <c r="G967" t="s">
        <v>87</v>
      </c>
      <c r="H967">
        <v>2856.5333190330498</v>
      </c>
      <c r="I967" s="9">
        <v>51.368062620949786</v>
      </c>
      <c r="J967" t="s">
        <v>67</v>
      </c>
      <c r="K967" t="s">
        <v>68</v>
      </c>
    </row>
    <row r="968" spans="1:11" hidden="1" x14ac:dyDescent="0.25">
      <c r="A968" t="s">
        <v>81</v>
      </c>
      <c r="B968" t="s">
        <v>82</v>
      </c>
      <c r="C968" t="s">
        <v>49</v>
      </c>
      <c r="D968" t="s">
        <v>50</v>
      </c>
      <c r="E968">
        <v>2019</v>
      </c>
      <c r="F968" t="s">
        <v>86</v>
      </c>
      <c r="G968" t="s">
        <v>87</v>
      </c>
      <c r="H968">
        <v>235.791106779453</v>
      </c>
      <c r="I968" s="9"/>
      <c r="J968" t="s">
        <v>67</v>
      </c>
      <c r="K968" t="s">
        <v>68</v>
      </c>
    </row>
    <row r="969" spans="1:11" hidden="1" x14ac:dyDescent="0.25">
      <c r="A969" t="s">
        <v>81</v>
      </c>
      <c r="B969" t="s">
        <v>82</v>
      </c>
      <c r="C969" t="s">
        <v>49</v>
      </c>
      <c r="D969" t="s">
        <v>50</v>
      </c>
      <c r="E969">
        <v>2020</v>
      </c>
      <c r="F969" t="s">
        <v>86</v>
      </c>
      <c r="G969" t="s">
        <v>87</v>
      </c>
      <c r="H969">
        <v>309.40465795387797</v>
      </c>
      <c r="I969" s="9">
        <v>73.61355117442497</v>
      </c>
      <c r="J969" t="s">
        <v>67</v>
      </c>
      <c r="K969" t="s">
        <v>68</v>
      </c>
    </row>
    <row r="970" spans="1:11" hidden="1" x14ac:dyDescent="0.25">
      <c r="A970" t="s">
        <v>81</v>
      </c>
      <c r="B970" t="s">
        <v>82</v>
      </c>
      <c r="C970" t="s">
        <v>49</v>
      </c>
      <c r="D970" t="s">
        <v>50</v>
      </c>
      <c r="E970">
        <v>2021</v>
      </c>
      <c r="F970" t="s">
        <v>86</v>
      </c>
      <c r="G970" t="s">
        <v>87</v>
      </c>
      <c r="H970">
        <v>300.61563943398102</v>
      </c>
      <c r="I970" s="9">
        <v>-8.7890185198969561</v>
      </c>
      <c r="J970" t="s">
        <v>67</v>
      </c>
      <c r="K970" t="s">
        <v>68</v>
      </c>
    </row>
    <row r="971" spans="1:11" hidden="1" x14ac:dyDescent="0.25">
      <c r="A971" t="s">
        <v>81</v>
      </c>
      <c r="B971" t="s">
        <v>82</v>
      </c>
      <c r="C971" t="s">
        <v>49</v>
      </c>
      <c r="D971" t="s">
        <v>50</v>
      </c>
      <c r="E971">
        <v>2022</v>
      </c>
      <c r="F971" t="s">
        <v>86</v>
      </c>
      <c r="G971" t="s">
        <v>87</v>
      </c>
      <c r="H971">
        <v>308.05010758685501</v>
      </c>
      <c r="I971" s="9">
        <v>7.4344681528739898</v>
      </c>
      <c r="J971" t="s">
        <v>67</v>
      </c>
      <c r="K971" t="s">
        <v>68</v>
      </c>
    </row>
    <row r="972" spans="1:11" hidden="1" x14ac:dyDescent="0.25">
      <c r="A972" t="s">
        <v>81</v>
      </c>
      <c r="B972" t="s">
        <v>82</v>
      </c>
      <c r="C972" t="s">
        <v>49</v>
      </c>
      <c r="D972" t="s">
        <v>50</v>
      </c>
      <c r="E972">
        <v>2023</v>
      </c>
      <c r="F972" t="s">
        <v>86</v>
      </c>
      <c r="G972" t="s">
        <v>87</v>
      </c>
      <c r="H972">
        <v>366.45289030933901</v>
      </c>
      <c r="I972" s="9">
        <v>58.402782722484005</v>
      </c>
      <c r="J972" t="s">
        <v>67</v>
      </c>
      <c r="K972" t="s">
        <v>68</v>
      </c>
    </row>
    <row r="973" spans="1:11" hidden="1" x14ac:dyDescent="0.25">
      <c r="A973" t="s">
        <v>81</v>
      </c>
      <c r="B973" t="s">
        <v>82</v>
      </c>
      <c r="C973" t="s">
        <v>49</v>
      </c>
      <c r="D973" t="s">
        <v>50</v>
      </c>
      <c r="E973">
        <v>2024</v>
      </c>
      <c r="F973" t="s">
        <v>86</v>
      </c>
      <c r="G973" t="s">
        <v>87</v>
      </c>
      <c r="H973">
        <v>404.09196095172598</v>
      </c>
      <c r="I973" s="9">
        <v>37.639070642386969</v>
      </c>
      <c r="J973" t="s">
        <v>67</v>
      </c>
      <c r="K973" t="s">
        <v>68</v>
      </c>
    </row>
    <row r="974" spans="1:11" hidden="1" x14ac:dyDescent="0.25">
      <c r="A974" t="s">
        <v>81</v>
      </c>
      <c r="B974" t="s">
        <v>82</v>
      </c>
      <c r="C974" t="s">
        <v>33</v>
      </c>
      <c r="D974" t="s">
        <v>34</v>
      </c>
      <c r="E974">
        <v>2019</v>
      </c>
      <c r="F974" t="s">
        <v>86</v>
      </c>
      <c r="G974" t="s">
        <v>87</v>
      </c>
      <c r="H974">
        <v>263.225001515732</v>
      </c>
      <c r="I974" s="9"/>
      <c r="J974" t="s">
        <v>67</v>
      </c>
      <c r="K974" t="s">
        <v>68</v>
      </c>
    </row>
    <row r="975" spans="1:11" hidden="1" x14ac:dyDescent="0.25">
      <c r="A975" t="s">
        <v>81</v>
      </c>
      <c r="B975" t="s">
        <v>82</v>
      </c>
      <c r="C975" t="s">
        <v>33</v>
      </c>
      <c r="D975" t="s">
        <v>34</v>
      </c>
      <c r="E975">
        <v>2020</v>
      </c>
      <c r="F975" t="s">
        <v>86</v>
      </c>
      <c r="G975" t="s">
        <v>87</v>
      </c>
      <c r="H975">
        <v>294.93384507665797</v>
      </c>
      <c r="I975" s="9">
        <v>31.70884356092597</v>
      </c>
      <c r="J975" t="s">
        <v>67</v>
      </c>
      <c r="K975" t="s">
        <v>68</v>
      </c>
    </row>
    <row r="976" spans="1:11" hidden="1" x14ac:dyDescent="0.25">
      <c r="A976" t="s">
        <v>81</v>
      </c>
      <c r="B976" t="s">
        <v>82</v>
      </c>
      <c r="C976" t="s">
        <v>33</v>
      </c>
      <c r="D976" t="s">
        <v>34</v>
      </c>
      <c r="E976">
        <v>2021</v>
      </c>
      <c r="F976" t="s">
        <v>86</v>
      </c>
      <c r="G976" t="s">
        <v>87</v>
      </c>
      <c r="H976">
        <v>295.31120168234901</v>
      </c>
      <c r="I976" s="9">
        <v>0.37735660569103402</v>
      </c>
      <c r="J976" t="s">
        <v>67</v>
      </c>
      <c r="K976" t="s">
        <v>68</v>
      </c>
    </row>
    <row r="977" spans="1:11" hidden="1" x14ac:dyDescent="0.25">
      <c r="A977" t="s">
        <v>81</v>
      </c>
      <c r="B977" t="s">
        <v>82</v>
      </c>
      <c r="C977" t="s">
        <v>33</v>
      </c>
      <c r="D977" t="s">
        <v>34</v>
      </c>
      <c r="E977">
        <v>2022</v>
      </c>
      <c r="F977" t="s">
        <v>86</v>
      </c>
      <c r="G977" t="s">
        <v>87</v>
      </c>
      <c r="H977">
        <v>309.11379454221202</v>
      </c>
      <c r="I977" s="9">
        <v>13.802592859863012</v>
      </c>
      <c r="J977" t="s">
        <v>67</v>
      </c>
      <c r="K977" t="s">
        <v>68</v>
      </c>
    </row>
    <row r="978" spans="1:11" hidden="1" x14ac:dyDescent="0.25">
      <c r="A978" t="s">
        <v>81</v>
      </c>
      <c r="B978" t="s">
        <v>82</v>
      </c>
      <c r="C978" t="s">
        <v>33</v>
      </c>
      <c r="D978" t="s">
        <v>34</v>
      </c>
      <c r="E978">
        <v>2023</v>
      </c>
      <c r="F978" t="s">
        <v>86</v>
      </c>
      <c r="G978" t="s">
        <v>87</v>
      </c>
      <c r="H978">
        <v>387.93347667065899</v>
      </c>
      <c r="I978" s="9">
        <v>78.819682128446971</v>
      </c>
      <c r="J978" t="s">
        <v>67</v>
      </c>
      <c r="K978" t="s">
        <v>68</v>
      </c>
    </row>
    <row r="979" spans="1:11" hidden="1" x14ac:dyDescent="0.25">
      <c r="A979" t="s">
        <v>81</v>
      </c>
      <c r="B979" t="s">
        <v>82</v>
      </c>
      <c r="C979" t="s">
        <v>33</v>
      </c>
      <c r="D979" t="s">
        <v>34</v>
      </c>
      <c r="E979">
        <v>2024</v>
      </c>
      <c r="F979" t="s">
        <v>86</v>
      </c>
      <c r="G979" t="s">
        <v>87</v>
      </c>
      <c r="H979">
        <v>438.511568856184</v>
      </c>
      <c r="I979" s="9">
        <v>50.578092185525009</v>
      </c>
      <c r="J979" t="s">
        <v>67</v>
      </c>
      <c r="K979" t="s">
        <v>68</v>
      </c>
    </row>
    <row r="980" spans="1:11" hidden="1" x14ac:dyDescent="0.25">
      <c r="A980" t="s">
        <v>81</v>
      </c>
      <c r="B980" t="s">
        <v>82</v>
      </c>
      <c r="C980" t="s">
        <v>51</v>
      </c>
      <c r="D980" t="s">
        <v>52</v>
      </c>
      <c r="E980">
        <v>2019</v>
      </c>
      <c r="F980" t="s">
        <v>86</v>
      </c>
      <c r="G980" t="s">
        <v>87</v>
      </c>
      <c r="I980" s="9"/>
      <c r="J980" t="s">
        <v>67</v>
      </c>
      <c r="K980" t="s">
        <v>68</v>
      </c>
    </row>
    <row r="981" spans="1:11" hidden="1" x14ac:dyDescent="0.25">
      <c r="A981" t="s">
        <v>81</v>
      </c>
      <c r="B981" t="s">
        <v>82</v>
      </c>
      <c r="C981" t="s">
        <v>51</v>
      </c>
      <c r="D981" t="s">
        <v>52</v>
      </c>
      <c r="E981">
        <v>2020</v>
      </c>
      <c r="F981" t="s">
        <v>86</v>
      </c>
      <c r="G981" t="s">
        <v>87</v>
      </c>
      <c r="I981" s="9"/>
      <c r="J981" t="s">
        <v>67</v>
      </c>
      <c r="K981" t="s">
        <v>68</v>
      </c>
    </row>
    <row r="982" spans="1:11" hidden="1" x14ac:dyDescent="0.25">
      <c r="A982" t="s">
        <v>81</v>
      </c>
      <c r="B982" t="s">
        <v>82</v>
      </c>
      <c r="C982" t="s">
        <v>51</v>
      </c>
      <c r="D982" t="s">
        <v>52</v>
      </c>
      <c r="E982">
        <v>2021</v>
      </c>
      <c r="F982" t="s">
        <v>86</v>
      </c>
      <c r="G982" t="s">
        <v>87</v>
      </c>
      <c r="I982" s="9"/>
      <c r="J982" t="s">
        <v>67</v>
      </c>
      <c r="K982" t="s">
        <v>68</v>
      </c>
    </row>
    <row r="983" spans="1:11" hidden="1" x14ac:dyDescent="0.25">
      <c r="A983" t="s">
        <v>81</v>
      </c>
      <c r="B983" t="s">
        <v>82</v>
      </c>
      <c r="C983" t="s">
        <v>51</v>
      </c>
      <c r="D983" t="s">
        <v>52</v>
      </c>
      <c r="E983">
        <v>2022</v>
      </c>
      <c r="F983" t="s">
        <v>86</v>
      </c>
      <c r="G983" t="s">
        <v>87</v>
      </c>
      <c r="I983" s="9"/>
      <c r="J983" t="s">
        <v>67</v>
      </c>
      <c r="K983" t="s">
        <v>68</v>
      </c>
    </row>
    <row r="984" spans="1:11" hidden="1" x14ac:dyDescent="0.25">
      <c r="A984" t="s">
        <v>81</v>
      </c>
      <c r="B984" t="s">
        <v>82</v>
      </c>
      <c r="C984" t="s">
        <v>51</v>
      </c>
      <c r="D984" t="s">
        <v>52</v>
      </c>
      <c r="E984">
        <v>2023</v>
      </c>
      <c r="F984" t="s">
        <v>86</v>
      </c>
      <c r="G984" t="s">
        <v>87</v>
      </c>
      <c r="I984" s="9"/>
      <c r="J984" t="s">
        <v>67</v>
      </c>
      <c r="K984" t="s">
        <v>68</v>
      </c>
    </row>
    <row r="985" spans="1:11" hidden="1" x14ac:dyDescent="0.25">
      <c r="A985" t="s">
        <v>81</v>
      </c>
      <c r="B985" t="s">
        <v>82</v>
      </c>
      <c r="C985" t="s">
        <v>51</v>
      </c>
      <c r="D985" t="s">
        <v>52</v>
      </c>
      <c r="E985">
        <v>2024</v>
      </c>
      <c r="F985" t="s">
        <v>86</v>
      </c>
      <c r="G985" t="s">
        <v>87</v>
      </c>
      <c r="I985" s="9"/>
      <c r="J985" t="s">
        <v>67</v>
      </c>
      <c r="K985" t="s">
        <v>68</v>
      </c>
    </row>
    <row r="986" spans="1:11" hidden="1" x14ac:dyDescent="0.25">
      <c r="A986" t="s">
        <v>81</v>
      </c>
      <c r="B986" t="s">
        <v>82</v>
      </c>
      <c r="C986" t="s">
        <v>53</v>
      </c>
      <c r="D986" t="s">
        <v>54</v>
      </c>
      <c r="E986">
        <v>2019</v>
      </c>
      <c r="F986" t="s">
        <v>86</v>
      </c>
      <c r="G986" t="s">
        <v>87</v>
      </c>
      <c r="I986" s="9"/>
      <c r="J986" t="s">
        <v>67</v>
      </c>
      <c r="K986" t="s">
        <v>68</v>
      </c>
    </row>
    <row r="987" spans="1:11" hidden="1" x14ac:dyDescent="0.25">
      <c r="A987" t="s">
        <v>81</v>
      </c>
      <c r="B987" t="s">
        <v>82</v>
      </c>
      <c r="C987" t="s">
        <v>53</v>
      </c>
      <c r="D987" t="s">
        <v>54</v>
      </c>
      <c r="E987">
        <v>2020</v>
      </c>
      <c r="F987" t="s">
        <v>86</v>
      </c>
      <c r="G987" t="s">
        <v>87</v>
      </c>
      <c r="I987" s="9"/>
      <c r="J987" t="s">
        <v>67</v>
      </c>
      <c r="K987" t="s">
        <v>68</v>
      </c>
    </row>
    <row r="988" spans="1:11" hidden="1" x14ac:dyDescent="0.25">
      <c r="A988" t="s">
        <v>81</v>
      </c>
      <c r="B988" t="s">
        <v>82</v>
      </c>
      <c r="C988" t="s">
        <v>53</v>
      </c>
      <c r="D988" t="s">
        <v>54</v>
      </c>
      <c r="E988">
        <v>2021</v>
      </c>
      <c r="F988" t="s">
        <v>86</v>
      </c>
      <c r="G988" t="s">
        <v>87</v>
      </c>
      <c r="I988" s="9"/>
      <c r="J988" t="s">
        <v>67</v>
      </c>
      <c r="K988" t="s">
        <v>68</v>
      </c>
    </row>
    <row r="989" spans="1:11" hidden="1" x14ac:dyDescent="0.25">
      <c r="A989" t="s">
        <v>81</v>
      </c>
      <c r="B989" t="s">
        <v>82</v>
      </c>
      <c r="C989" t="s">
        <v>53</v>
      </c>
      <c r="D989" t="s">
        <v>54</v>
      </c>
      <c r="E989">
        <v>2022</v>
      </c>
      <c r="F989" t="s">
        <v>86</v>
      </c>
      <c r="G989" t="s">
        <v>87</v>
      </c>
      <c r="I989" s="9"/>
      <c r="J989" t="s">
        <v>67</v>
      </c>
      <c r="K989" t="s">
        <v>68</v>
      </c>
    </row>
    <row r="990" spans="1:11" hidden="1" x14ac:dyDescent="0.25">
      <c r="A990" t="s">
        <v>81</v>
      </c>
      <c r="B990" t="s">
        <v>82</v>
      </c>
      <c r="C990" t="s">
        <v>53</v>
      </c>
      <c r="D990" t="s">
        <v>54</v>
      </c>
      <c r="E990">
        <v>2023</v>
      </c>
      <c r="F990" t="s">
        <v>86</v>
      </c>
      <c r="G990" t="s">
        <v>87</v>
      </c>
      <c r="I990" s="9"/>
      <c r="J990" t="s">
        <v>67</v>
      </c>
      <c r="K990" t="s">
        <v>68</v>
      </c>
    </row>
    <row r="991" spans="1:11" hidden="1" x14ac:dyDescent="0.25">
      <c r="A991" t="s">
        <v>81</v>
      </c>
      <c r="B991" t="s">
        <v>82</v>
      </c>
      <c r="C991" t="s">
        <v>53</v>
      </c>
      <c r="D991" t="s">
        <v>54</v>
      </c>
      <c r="E991">
        <v>2024</v>
      </c>
      <c r="F991" t="s">
        <v>86</v>
      </c>
      <c r="G991" t="s">
        <v>87</v>
      </c>
      <c r="I991" s="9"/>
      <c r="J991" t="s">
        <v>67</v>
      </c>
      <c r="K991" t="s">
        <v>68</v>
      </c>
    </row>
    <row r="992" spans="1:11" hidden="1" x14ac:dyDescent="0.25">
      <c r="A992" t="s">
        <v>81</v>
      </c>
      <c r="B992" t="s">
        <v>82</v>
      </c>
      <c r="C992" t="s">
        <v>31</v>
      </c>
      <c r="D992" t="s">
        <v>32</v>
      </c>
      <c r="E992">
        <v>2019</v>
      </c>
      <c r="F992" t="s">
        <v>86</v>
      </c>
      <c r="G992" t="s">
        <v>87</v>
      </c>
      <c r="H992">
        <v>2447.6078788201198</v>
      </c>
      <c r="I992" s="9"/>
      <c r="J992" t="s">
        <v>67</v>
      </c>
      <c r="K992" t="s">
        <v>68</v>
      </c>
    </row>
    <row r="993" spans="1:11" hidden="1" x14ac:dyDescent="0.25">
      <c r="A993" t="s">
        <v>81</v>
      </c>
      <c r="B993" t="s">
        <v>82</v>
      </c>
      <c r="C993" t="s">
        <v>31</v>
      </c>
      <c r="D993" t="s">
        <v>32</v>
      </c>
      <c r="E993">
        <v>2020</v>
      </c>
      <c r="F993" t="s">
        <v>86</v>
      </c>
      <c r="G993" t="s">
        <v>87</v>
      </c>
      <c r="H993">
        <v>2496.44089961695</v>
      </c>
      <c r="I993" s="9">
        <v>48.833020796830169</v>
      </c>
      <c r="J993" t="s">
        <v>67</v>
      </c>
      <c r="K993" t="s">
        <v>68</v>
      </c>
    </row>
    <row r="994" spans="1:11" hidden="1" x14ac:dyDescent="0.25">
      <c r="A994" t="s">
        <v>81</v>
      </c>
      <c r="B994" t="s">
        <v>82</v>
      </c>
      <c r="C994" t="s">
        <v>31</v>
      </c>
      <c r="D994" t="s">
        <v>32</v>
      </c>
      <c r="E994">
        <v>2021</v>
      </c>
      <c r="F994" t="s">
        <v>86</v>
      </c>
      <c r="G994" t="s">
        <v>87</v>
      </c>
      <c r="H994">
        <v>2577.4658930188102</v>
      </c>
      <c r="I994" s="9">
        <v>81.024993401860229</v>
      </c>
      <c r="J994" t="s">
        <v>67</v>
      </c>
      <c r="K994" t="s">
        <v>68</v>
      </c>
    </row>
    <row r="995" spans="1:11" hidden="1" x14ac:dyDescent="0.25">
      <c r="A995" t="s">
        <v>81</v>
      </c>
      <c r="B995" t="s">
        <v>82</v>
      </c>
      <c r="C995" t="s">
        <v>31</v>
      </c>
      <c r="D995" t="s">
        <v>32</v>
      </c>
      <c r="E995">
        <v>2022</v>
      </c>
      <c r="F995" t="s">
        <v>86</v>
      </c>
      <c r="G995" t="s">
        <v>87</v>
      </c>
      <c r="H995">
        <v>2712.6877201224202</v>
      </c>
      <c r="I995" s="9">
        <v>135.22182710360994</v>
      </c>
      <c r="J995" t="s">
        <v>67</v>
      </c>
      <c r="K995" t="s">
        <v>68</v>
      </c>
    </row>
    <row r="996" spans="1:11" hidden="1" x14ac:dyDescent="0.25">
      <c r="A996" t="s">
        <v>81</v>
      </c>
      <c r="B996" t="s">
        <v>82</v>
      </c>
      <c r="C996" t="s">
        <v>31</v>
      </c>
      <c r="D996" t="s">
        <v>32</v>
      </c>
      <c r="E996">
        <v>2023</v>
      </c>
      <c r="F996" t="s">
        <v>86</v>
      </c>
      <c r="G996" t="s">
        <v>87</v>
      </c>
      <c r="H996">
        <v>2819.3726579801701</v>
      </c>
      <c r="I996" s="9">
        <v>106.6849378577499</v>
      </c>
      <c r="J996" t="s">
        <v>67</v>
      </c>
      <c r="K996" t="s">
        <v>68</v>
      </c>
    </row>
    <row r="997" spans="1:11" hidden="1" x14ac:dyDescent="0.25">
      <c r="A997" t="s">
        <v>81</v>
      </c>
      <c r="B997" t="s">
        <v>82</v>
      </c>
      <c r="C997" t="s">
        <v>31</v>
      </c>
      <c r="D997" t="s">
        <v>32</v>
      </c>
      <c r="E997">
        <v>2024</v>
      </c>
      <c r="F997" t="s">
        <v>86</v>
      </c>
      <c r="G997" t="s">
        <v>87</v>
      </c>
      <c r="H997">
        <v>2882.6141890138201</v>
      </c>
      <c r="I997" s="9">
        <v>63.241531033650062</v>
      </c>
      <c r="J997" t="s">
        <v>67</v>
      </c>
      <c r="K997" t="s">
        <v>68</v>
      </c>
    </row>
    <row r="998" spans="1:11" hidden="1" x14ac:dyDescent="0.25">
      <c r="A998" t="s">
        <v>81</v>
      </c>
      <c r="B998" t="s">
        <v>82</v>
      </c>
      <c r="C998" t="s">
        <v>35</v>
      </c>
      <c r="D998" t="s">
        <v>36</v>
      </c>
      <c r="E998">
        <v>2019</v>
      </c>
      <c r="F998" t="s">
        <v>86</v>
      </c>
      <c r="G998" t="s">
        <v>87</v>
      </c>
      <c r="H998">
        <v>379.86874239135</v>
      </c>
      <c r="I998" s="9"/>
      <c r="J998" t="s">
        <v>67</v>
      </c>
      <c r="K998" t="s">
        <v>68</v>
      </c>
    </row>
    <row r="999" spans="1:11" hidden="1" x14ac:dyDescent="0.25">
      <c r="A999" t="s">
        <v>81</v>
      </c>
      <c r="B999" t="s">
        <v>82</v>
      </c>
      <c r="C999" t="s">
        <v>35</v>
      </c>
      <c r="D999" t="s">
        <v>36</v>
      </c>
      <c r="E999">
        <v>2020</v>
      </c>
      <c r="F999" t="s">
        <v>86</v>
      </c>
      <c r="G999" t="s">
        <v>87</v>
      </c>
      <c r="H999">
        <v>403.08346506980899</v>
      </c>
      <c r="I999" s="9">
        <v>23.214722678458998</v>
      </c>
      <c r="J999" t="s">
        <v>67</v>
      </c>
      <c r="K999" t="s">
        <v>68</v>
      </c>
    </row>
    <row r="1000" spans="1:11" hidden="1" x14ac:dyDescent="0.25">
      <c r="A1000" t="s">
        <v>81</v>
      </c>
      <c r="B1000" t="s">
        <v>82</v>
      </c>
      <c r="C1000" t="s">
        <v>35</v>
      </c>
      <c r="D1000" t="s">
        <v>36</v>
      </c>
      <c r="E1000">
        <v>2021</v>
      </c>
      <c r="F1000" t="s">
        <v>86</v>
      </c>
      <c r="G1000" t="s">
        <v>87</v>
      </c>
      <c r="H1000">
        <v>419.80185656329701</v>
      </c>
      <c r="I1000" s="9">
        <v>16.718391493488014</v>
      </c>
      <c r="J1000" t="s">
        <v>67</v>
      </c>
      <c r="K1000" t="s">
        <v>68</v>
      </c>
    </row>
    <row r="1001" spans="1:11" hidden="1" x14ac:dyDescent="0.25">
      <c r="A1001" t="s">
        <v>81</v>
      </c>
      <c r="B1001" t="s">
        <v>82</v>
      </c>
      <c r="C1001" t="s">
        <v>35</v>
      </c>
      <c r="D1001" t="s">
        <v>36</v>
      </c>
      <c r="E1001">
        <v>2022</v>
      </c>
      <c r="F1001" t="s">
        <v>86</v>
      </c>
      <c r="G1001" t="s">
        <v>87</v>
      </c>
      <c r="H1001">
        <v>496.45000174803999</v>
      </c>
      <c r="I1001" s="9">
        <v>76.648145184742987</v>
      </c>
      <c r="J1001" t="s">
        <v>67</v>
      </c>
      <c r="K1001" t="s">
        <v>68</v>
      </c>
    </row>
    <row r="1002" spans="1:11" hidden="1" x14ac:dyDescent="0.25">
      <c r="A1002" t="s">
        <v>81</v>
      </c>
      <c r="B1002" t="s">
        <v>82</v>
      </c>
      <c r="C1002" t="s">
        <v>35</v>
      </c>
      <c r="D1002" t="s">
        <v>36</v>
      </c>
      <c r="E1002">
        <v>2023</v>
      </c>
      <c r="F1002" t="s">
        <v>86</v>
      </c>
      <c r="G1002" t="s">
        <v>87</v>
      </c>
      <c r="H1002">
        <v>575.730021557584</v>
      </c>
      <c r="I1002" s="9">
        <v>79.280019809544001</v>
      </c>
      <c r="J1002" t="s">
        <v>67</v>
      </c>
      <c r="K1002" t="s">
        <v>68</v>
      </c>
    </row>
    <row r="1003" spans="1:11" hidden="1" x14ac:dyDescent="0.25">
      <c r="A1003" t="s">
        <v>81</v>
      </c>
      <c r="B1003" t="s">
        <v>82</v>
      </c>
      <c r="C1003" t="s">
        <v>35</v>
      </c>
      <c r="D1003" t="s">
        <v>36</v>
      </c>
      <c r="E1003">
        <v>2024</v>
      </c>
      <c r="F1003" t="s">
        <v>86</v>
      </c>
      <c r="G1003" t="s">
        <v>87</v>
      </c>
      <c r="H1003">
        <v>728.69296134732303</v>
      </c>
      <c r="I1003" s="9">
        <v>152.96293978973904</v>
      </c>
      <c r="J1003" t="s">
        <v>67</v>
      </c>
      <c r="K1003" t="s">
        <v>68</v>
      </c>
    </row>
    <row r="1004" spans="1:11" hidden="1" x14ac:dyDescent="0.25">
      <c r="A1004" t="s">
        <v>81</v>
      </c>
      <c r="B1004" t="s">
        <v>82</v>
      </c>
      <c r="C1004" t="s">
        <v>7</v>
      </c>
      <c r="D1004" t="s">
        <v>8</v>
      </c>
      <c r="E1004">
        <v>2019</v>
      </c>
      <c r="F1004" t="s">
        <v>86</v>
      </c>
      <c r="G1004" t="s">
        <v>87</v>
      </c>
      <c r="H1004">
        <v>136.26369855403999</v>
      </c>
      <c r="I1004" s="9"/>
      <c r="J1004" t="s">
        <v>67</v>
      </c>
      <c r="K1004" t="s">
        <v>68</v>
      </c>
    </row>
    <row r="1005" spans="1:11" hidden="1" x14ac:dyDescent="0.25">
      <c r="A1005" t="s">
        <v>81</v>
      </c>
      <c r="B1005" t="s">
        <v>82</v>
      </c>
      <c r="C1005" t="s">
        <v>7</v>
      </c>
      <c r="D1005" t="s">
        <v>8</v>
      </c>
      <c r="E1005">
        <v>2020</v>
      </c>
      <c r="F1005" t="s">
        <v>86</v>
      </c>
      <c r="G1005" t="s">
        <v>87</v>
      </c>
      <c r="H1005">
        <v>130.453544697713</v>
      </c>
      <c r="I1005" s="9">
        <v>-5.8101538563269912</v>
      </c>
      <c r="J1005" t="s">
        <v>67</v>
      </c>
      <c r="K1005" t="s">
        <v>68</v>
      </c>
    </row>
    <row r="1006" spans="1:11" hidden="1" x14ac:dyDescent="0.25">
      <c r="A1006" t="s">
        <v>81</v>
      </c>
      <c r="B1006" t="s">
        <v>82</v>
      </c>
      <c r="C1006" t="s">
        <v>7</v>
      </c>
      <c r="D1006" t="s">
        <v>8</v>
      </c>
      <c r="E1006">
        <v>2021</v>
      </c>
      <c r="F1006" t="s">
        <v>86</v>
      </c>
      <c r="G1006" t="s">
        <v>87</v>
      </c>
      <c r="H1006">
        <v>127.026376257659</v>
      </c>
      <c r="I1006" s="9">
        <v>-3.4271684400540039</v>
      </c>
      <c r="J1006" t="s">
        <v>67</v>
      </c>
      <c r="K1006" t="s">
        <v>68</v>
      </c>
    </row>
    <row r="1007" spans="1:11" hidden="1" x14ac:dyDescent="0.25">
      <c r="A1007" t="s">
        <v>81</v>
      </c>
      <c r="B1007" t="s">
        <v>82</v>
      </c>
      <c r="C1007" t="s">
        <v>7</v>
      </c>
      <c r="D1007" t="s">
        <v>8</v>
      </c>
      <c r="E1007">
        <v>2022</v>
      </c>
      <c r="F1007" t="s">
        <v>86</v>
      </c>
      <c r="G1007" t="s">
        <v>87</v>
      </c>
      <c r="H1007">
        <v>137.61373519990599</v>
      </c>
      <c r="I1007" s="9">
        <v>10.587358942246993</v>
      </c>
      <c r="J1007" t="s">
        <v>67</v>
      </c>
      <c r="K1007" t="s">
        <v>68</v>
      </c>
    </row>
    <row r="1008" spans="1:11" hidden="1" x14ac:dyDescent="0.25">
      <c r="A1008" t="s">
        <v>81</v>
      </c>
      <c r="B1008" t="s">
        <v>82</v>
      </c>
      <c r="C1008" t="s">
        <v>7</v>
      </c>
      <c r="D1008" t="s">
        <v>8</v>
      </c>
      <c r="E1008">
        <v>2023</v>
      </c>
      <c r="F1008" t="s">
        <v>86</v>
      </c>
      <c r="G1008" t="s">
        <v>87</v>
      </c>
      <c r="H1008">
        <v>145.337387137978</v>
      </c>
      <c r="I1008" s="9">
        <v>7.7236519380720097</v>
      </c>
      <c r="J1008" t="s">
        <v>67</v>
      </c>
      <c r="K1008" t="s">
        <v>68</v>
      </c>
    </row>
    <row r="1009" spans="1:11" hidden="1" x14ac:dyDescent="0.25">
      <c r="A1009" t="s">
        <v>81</v>
      </c>
      <c r="B1009" t="s">
        <v>82</v>
      </c>
      <c r="C1009" t="s">
        <v>7</v>
      </c>
      <c r="D1009" t="s">
        <v>8</v>
      </c>
      <c r="E1009">
        <v>2024</v>
      </c>
      <c r="F1009" t="s">
        <v>86</v>
      </c>
      <c r="G1009" t="s">
        <v>87</v>
      </c>
      <c r="H1009">
        <v>150.67952280980199</v>
      </c>
      <c r="I1009" s="9">
        <v>5.3421356718239963</v>
      </c>
      <c r="J1009" t="s">
        <v>67</v>
      </c>
      <c r="K1009" t="s">
        <v>68</v>
      </c>
    </row>
    <row r="1010" spans="1:11" hidden="1" x14ac:dyDescent="0.25">
      <c r="A1010" t="s">
        <v>81</v>
      </c>
      <c r="B1010" t="s">
        <v>82</v>
      </c>
      <c r="C1010" t="s">
        <v>37</v>
      </c>
      <c r="D1010" t="s">
        <v>38</v>
      </c>
      <c r="E1010">
        <v>2019</v>
      </c>
      <c r="F1010" t="s">
        <v>86</v>
      </c>
      <c r="G1010" t="s">
        <v>87</v>
      </c>
      <c r="H1010">
        <v>106.314004697185</v>
      </c>
      <c r="I1010" s="9"/>
      <c r="J1010" t="s">
        <v>67</v>
      </c>
      <c r="K1010" t="s">
        <v>68</v>
      </c>
    </row>
    <row r="1011" spans="1:11" hidden="1" x14ac:dyDescent="0.25">
      <c r="A1011" t="s">
        <v>81</v>
      </c>
      <c r="B1011" t="s">
        <v>82</v>
      </c>
      <c r="C1011" t="s">
        <v>37</v>
      </c>
      <c r="D1011" t="s">
        <v>38</v>
      </c>
      <c r="E1011">
        <v>2020</v>
      </c>
      <c r="F1011" t="s">
        <v>86</v>
      </c>
      <c r="G1011" t="s">
        <v>87</v>
      </c>
      <c r="H1011">
        <v>107.64269983894501</v>
      </c>
      <c r="I1011" s="9">
        <v>1.3286951417600079</v>
      </c>
      <c r="J1011" t="s">
        <v>67</v>
      </c>
      <c r="K1011" t="s">
        <v>68</v>
      </c>
    </row>
    <row r="1012" spans="1:11" hidden="1" x14ac:dyDescent="0.25">
      <c r="A1012" t="s">
        <v>81</v>
      </c>
      <c r="B1012" t="s">
        <v>82</v>
      </c>
      <c r="C1012" t="s">
        <v>37</v>
      </c>
      <c r="D1012" t="s">
        <v>38</v>
      </c>
      <c r="E1012">
        <v>2021</v>
      </c>
      <c r="F1012" t="s">
        <v>86</v>
      </c>
      <c r="G1012" t="s">
        <v>87</v>
      </c>
      <c r="H1012">
        <v>105.968825319196</v>
      </c>
      <c r="I1012" s="9">
        <v>-1.6738745197490061</v>
      </c>
      <c r="J1012" t="s">
        <v>67</v>
      </c>
      <c r="K1012" t="s">
        <v>68</v>
      </c>
    </row>
    <row r="1013" spans="1:11" hidden="1" x14ac:dyDescent="0.25">
      <c r="A1013" t="s">
        <v>81</v>
      </c>
      <c r="B1013" t="s">
        <v>82</v>
      </c>
      <c r="C1013" t="s">
        <v>37</v>
      </c>
      <c r="D1013" t="s">
        <v>38</v>
      </c>
      <c r="E1013">
        <v>2022</v>
      </c>
      <c r="F1013" t="s">
        <v>86</v>
      </c>
      <c r="G1013" t="s">
        <v>87</v>
      </c>
      <c r="H1013">
        <v>105.956077671217</v>
      </c>
      <c r="I1013" s="9">
        <v>-1.2747647978997634E-2</v>
      </c>
      <c r="J1013" t="s">
        <v>67</v>
      </c>
      <c r="K1013" t="s">
        <v>68</v>
      </c>
    </row>
    <row r="1014" spans="1:11" hidden="1" x14ac:dyDescent="0.25">
      <c r="A1014" t="s">
        <v>81</v>
      </c>
      <c r="B1014" t="s">
        <v>82</v>
      </c>
      <c r="C1014" t="s">
        <v>37</v>
      </c>
      <c r="D1014" t="s">
        <v>38</v>
      </c>
      <c r="E1014">
        <v>2023</v>
      </c>
      <c r="F1014" t="s">
        <v>86</v>
      </c>
      <c r="G1014" t="s">
        <v>87</v>
      </c>
      <c r="H1014">
        <v>96.321987549904193</v>
      </c>
      <c r="I1014" s="9">
        <v>-9.6340901213128092</v>
      </c>
      <c r="J1014" t="s">
        <v>67</v>
      </c>
      <c r="K1014" t="s">
        <v>68</v>
      </c>
    </row>
    <row r="1015" spans="1:11" hidden="1" x14ac:dyDescent="0.25">
      <c r="A1015" t="s">
        <v>81</v>
      </c>
      <c r="B1015" t="s">
        <v>82</v>
      </c>
      <c r="C1015" t="s">
        <v>37</v>
      </c>
      <c r="D1015" t="s">
        <v>38</v>
      </c>
      <c r="E1015">
        <v>2024</v>
      </c>
      <c r="F1015" t="s">
        <v>86</v>
      </c>
      <c r="G1015" t="s">
        <v>87</v>
      </c>
      <c r="I1015" s="9"/>
      <c r="J1015" t="s">
        <v>67</v>
      </c>
      <c r="K1015" t="s">
        <v>68</v>
      </c>
    </row>
    <row r="1016" spans="1:11" hidden="1" x14ac:dyDescent="0.25">
      <c r="A1016" t="s">
        <v>81</v>
      </c>
      <c r="B1016" t="s">
        <v>82</v>
      </c>
      <c r="C1016" t="s">
        <v>39</v>
      </c>
      <c r="D1016" t="s">
        <v>40</v>
      </c>
      <c r="E1016">
        <v>2019</v>
      </c>
      <c r="F1016" t="s">
        <v>86</v>
      </c>
      <c r="G1016" t="s">
        <v>87</v>
      </c>
      <c r="H1016">
        <v>1097.58509300117</v>
      </c>
      <c r="I1016" s="9"/>
      <c r="J1016" t="s">
        <v>67</v>
      </c>
      <c r="K1016" t="s">
        <v>68</v>
      </c>
    </row>
    <row r="1017" spans="1:11" hidden="1" x14ac:dyDescent="0.25">
      <c r="A1017" t="s">
        <v>81</v>
      </c>
      <c r="B1017" t="s">
        <v>82</v>
      </c>
      <c r="C1017" t="s">
        <v>39</v>
      </c>
      <c r="D1017" t="s">
        <v>40</v>
      </c>
      <c r="E1017">
        <v>2020</v>
      </c>
      <c r="F1017" t="s">
        <v>86</v>
      </c>
      <c r="G1017" t="s">
        <v>87</v>
      </c>
      <c r="H1017">
        <v>1175.457768363</v>
      </c>
      <c r="I1017" s="9">
        <v>77.872675361830034</v>
      </c>
      <c r="J1017" t="s">
        <v>67</v>
      </c>
      <c r="K1017" t="s">
        <v>68</v>
      </c>
    </row>
    <row r="1018" spans="1:11" hidden="1" x14ac:dyDescent="0.25">
      <c r="A1018" t="s">
        <v>81</v>
      </c>
      <c r="B1018" t="s">
        <v>82</v>
      </c>
      <c r="C1018" t="s">
        <v>39</v>
      </c>
      <c r="D1018" t="s">
        <v>40</v>
      </c>
      <c r="E1018">
        <v>2021</v>
      </c>
      <c r="F1018" t="s">
        <v>86</v>
      </c>
      <c r="G1018" t="s">
        <v>87</v>
      </c>
      <c r="H1018">
        <v>1284.9665800774001</v>
      </c>
      <c r="I1018" s="9">
        <v>109.50881171440005</v>
      </c>
      <c r="J1018" t="s">
        <v>67</v>
      </c>
      <c r="K1018" t="s">
        <v>68</v>
      </c>
    </row>
    <row r="1019" spans="1:11" hidden="1" x14ac:dyDescent="0.25">
      <c r="A1019" t="s">
        <v>81</v>
      </c>
      <c r="B1019" t="s">
        <v>82</v>
      </c>
      <c r="C1019" t="s">
        <v>39</v>
      </c>
      <c r="D1019" t="s">
        <v>40</v>
      </c>
      <c r="E1019">
        <v>2022</v>
      </c>
      <c r="F1019" t="s">
        <v>86</v>
      </c>
      <c r="G1019" t="s">
        <v>87</v>
      </c>
      <c r="H1019">
        <v>1504.61847898527</v>
      </c>
      <c r="I1019" s="9">
        <v>219.65189890786996</v>
      </c>
      <c r="J1019" t="s">
        <v>67</v>
      </c>
      <c r="K1019" t="s">
        <v>68</v>
      </c>
    </row>
    <row r="1020" spans="1:11" hidden="1" x14ac:dyDescent="0.25">
      <c r="A1020" t="s">
        <v>81</v>
      </c>
      <c r="B1020" t="s">
        <v>82</v>
      </c>
      <c r="C1020" t="s">
        <v>39</v>
      </c>
      <c r="D1020" t="s">
        <v>40</v>
      </c>
      <c r="E1020">
        <v>2023</v>
      </c>
      <c r="F1020" t="s">
        <v>86</v>
      </c>
      <c r="G1020" t="s">
        <v>87</v>
      </c>
      <c r="H1020">
        <v>1765.0553429931599</v>
      </c>
      <c r="I1020" s="9">
        <v>260.43686400788988</v>
      </c>
      <c r="J1020" t="s">
        <v>67</v>
      </c>
      <c r="K1020" t="s">
        <v>68</v>
      </c>
    </row>
    <row r="1021" spans="1:11" hidden="1" x14ac:dyDescent="0.25">
      <c r="A1021" t="s">
        <v>81</v>
      </c>
      <c r="B1021" t="s">
        <v>82</v>
      </c>
      <c r="C1021" t="s">
        <v>39</v>
      </c>
      <c r="D1021" t="s">
        <v>40</v>
      </c>
      <c r="E1021">
        <v>2024</v>
      </c>
      <c r="F1021" t="s">
        <v>86</v>
      </c>
      <c r="G1021" t="s">
        <v>87</v>
      </c>
      <c r="H1021">
        <v>1926.10828535973</v>
      </c>
      <c r="I1021" s="9">
        <v>161.05294236657005</v>
      </c>
      <c r="J1021" t="s">
        <v>67</v>
      </c>
      <c r="K1021" t="s">
        <v>68</v>
      </c>
    </row>
    <row r="1022" spans="1:11" hidden="1" x14ac:dyDescent="0.25">
      <c r="A1022" t="s">
        <v>81</v>
      </c>
      <c r="B1022" t="s">
        <v>82</v>
      </c>
      <c r="C1022" t="s">
        <v>55</v>
      </c>
      <c r="D1022" t="s">
        <v>56</v>
      </c>
      <c r="E1022">
        <v>2019</v>
      </c>
      <c r="F1022" t="s">
        <v>86</v>
      </c>
      <c r="G1022" t="s">
        <v>87</v>
      </c>
      <c r="H1022">
        <v>542.69201622453795</v>
      </c>
      <c r="I1022" s="9"/>
      <c r="J1022" t="s">
        <v>67</v>
      </c>
      <c r="K1022" t="s">
        <v>68</v>
      </c>
    </row>
    <row r="1023" spans="1:11" hidden="1" x14ac:dyDescent="0.25">
      <c r="A1023" t="s">
        <v>81</v>
      </c>
      <c r="B1023" t="s">
        <v>82</v>
      </c>
      <c r="C1023" t="s">
        <v>55</v>
      </c>
      <c r="D1023" t="s">
        <v>56</v>
      </c>
      <c r="E1023">
        <v>2020</v>
      </c>
      <c r="F1023" t="s">
        <v>86</v>
      </c>
      <c r="G1023" t="s">
        <v>87</v>
      </c>
      <c r="H1023">
        <v>527.70141849372305</v>
      </c>
      <c r="I1023" s="9">
        <v>-14.990597730814898</v>
      </c>
      <c r="J1023" t="s">
        <v>67</v>
      </c>
      <c r="K1023" t="s">
        <v>68</v>
      </c>
    </row>
    <row r="1024" spans="1:11" hidden="1" x14ac:dyDescent="0.25">
      <c r="A1024" t="s">
        <v>81</v>
      </c>
      <c r="B1024" t="s">
        <v>82</v>
      </c>
      <c r="C1024" t="s">
        <v>55</v>
      </c>
      <c r="D1024" t="s">
        <v>56</v>
      </c>
      <c r="E1024">
        <v>2021</v>
      </c>
      <c r="F1024" t="s">
        <v>86</v>
      </c>
      <c r="G1024" t="s">
        <v>87</v>
      </c>
      <c r="H1024">
        <v>517.02788233854903</v>
      </c>
      <c r="I1024" s="9">
        <v>-10.67353615517402</v>
      </c>
      <c r="J1024" t="s">
        <v>67</v>
      </c>
      <c r="K1024" t="s">
        <v>68</v>
      </c>
    </row>
    <row r="1025" spans="1:11" hidden="1" x14ac:dyDescent="0.25">
      <c r="A1025" t="s">
        <v>81</v>
      </c>
      <c r="B1025" t="s">
        <v>82</v>
      </c>
      <c r="C1025" t="s">
        <v>55</v>
      </c>
      <c r="D1025" t="s">
        <v>56</v>
      </c>
      <c r="E1025">
        <v>2022</v>
      </c>
      <c r="F1025" t="s">
        <v>86</v>
      </c>
      <c r="G1025" t="s">
        <v>87</v>
      </c>
      <c r="H1025">
        <v>525.37958219896996</v>
      </c>
      <c r="I1025" s="9">
        <v>8.3516998604209221</v>
      </c>
      <c r="J1025" t="s">
        <v>67</v>
      </c>
      <c r="K1025" t="s">
        <v>68</v>
      </c>
    </row>
    <row r="1026" spans="1:11" hidden="1" x14ac:dyDescent="0.25">
      <c r="A1026" t="s">
        <v>81</v>
      </c>
      <c r="B1026" t="s">
        <v>82</v>
      </c>
      <c r="C1026" t="s">
        <v>55</v>
      </c>
      <c r="D1026" t="s">
        <v>56</v>
      </c>
      <c r="E1026">
        <v>2023</v>
      </c>
      <c r="F1026" t="s">
        <v>86</v>
      </c>
      <c r="G1026" t="s">
        <v>87</v>
      </c>
      <c r="H1026">
        <v>547.68428582583704</v>
      </c>
      <c r="I1026" s="9">
        <v>22.304703626867081</v>
      </c>
      <c r="J1026" t="s">
        <v>67</v>
      </c>
      <c r="K1026" t="s">
        <v>68</v>
      </c>
    </row>
    <row r="1027" spans="1:11" hidden="1" x14ac:dyDescent="0.25">
      <c r="A1027" t="s">
        <v>81</v>
      </c>
      <c r="B1027" t="s">
        <v>82</v>
      </c>
      <c r="C1027" t="s">
        <v>55</v>
      </c>
      <c r="D1027" t="s">
        <v>56</v>
      </c>
      <c r="E1027">
        <v>2024</v>
      </c>
      <c r="F1027" t="s">
        <v>86</v>
      </c>
      <c r="G1027" t="s">
        <v>87</v>
      </c>
      <c r="I1027" s="9"/>
      <c r="J1027" t="s">
        <v>67</v>
      </c>
      <c r="K1027" t="s">
        <v>68</v>
      </c>
    </row>
    <row r="1028" spans="1:11" hidden="1" x14ac:dyDescent="0.25">
      <c r="A1028" t="s">
        <v>81</v>
      </c>
      <c r="B1028" t="s">
        <v>82</v>
      </c>
      <c r="C1028" t="s">
        <v>41</v>
      </c>
      <c r="D1028" t="s">
        <v>42</v>
      </c>
      <c r="E1028">
        <v>2019</v>
      </c>
      <c r="F1028" t="s">
        <v>86</v>
      </c>
      <c r="G1028" t="s">
        <v>87</v>
      </c>
      <c r="I1028" s="9"/>
      <c r="J1028" t="s">
        <v>67</v>
      </c>
      <c r="K1028" t="s">
        <v>68</v>
      </c>
    </row>
    <row r="1029" spans="1:11" hidden="1" x14ac:dyDescent="0.25">
      <c r="A1029" t="s">
        <v>81</v>
      </c>
      <c r="B1029" t="s">
        <v>82</v>
      </c>
      <c r="C1029" t="s">
        <v>41</v>
      </c>
      <c r="D1029" t="s">
        <v>42</v>
      </c>
      <c r="E1029">
        <v>2020</v>
      </c>
      <c r="F1029" t="s">
        <v>86</v>
      </c>
      <c r="G1029" t="s">
        <v>87</v>
      </c>
      <c r="I1029" s="9"/>
      <c r="J1029" t="s">
        <v>67</v>
      </c>
      <c r="K1029" t="s">
        <v>68</v>
      </c>
    </row>
    <row r="1030" spans="1:11" hidden="1" x14ac:dyDescent="0.25">
      <c r="A1030" t="s">
        <v>81</v>
      </c>
      <c r="B1030" t="s">
        <v>82</v>
      </c>
      <c r="C1030" t="s">
        <v>41</v>
      </c>
      <c r="D1030" t="s">
        <v>42</v>
      </c>
      <c r="E1030">
        <v>2021</v>
      </c>
      <c r="F1030" t="s">
        <v>86</v>
      </c>
      <c r="G1030" t="s">
        <v>87</v>
      </c>
      <c r="I1030" s="9"/>
      <c r="J1030" t="s">
        <v>67</v>
      </c>
      <c r="K1030" t="s">
        <v>68</v>
      </c>
    </row>
    <row r="1031" spans="1:11" hidden="1" x14ac:dyDescent="0.25">
      <c r="A1031" t="s">
        <v>81</v>
      </c>
      <c r="B1031" t="s">
        <v>82</v>
      </c>
      <c r="C1031" t="s">
        <v>41</v>
      </c>
      <c r="D1031" t="s">
        <v>42</v>
      </c>
      <c r="E1031">
        <v>2022</v>
      </c>
      <c r="F1031" t="s">
        <v>86</v>
      </c>
      <c r="G1031" t="s">
        <v>87</v>
      </c>
      <c r="I1031" s="9"/>
      <c r="J1031" t="s">
        <v>67</v>
      </c>
      <c r="K1031" t="s">
        <v>68</v>
      </c>
    </row>
    <row r="1032" spans="1:11" hidden="1" x14ac:dyDescent="0.25">
      <c r="A1032" t="s">
        <v>81</v>
      </c>
      <c r="B1032" t="s">
        <v>82</v>
      </c>
      <c r="C1032" t="s">
        <v>41</v>
      </c>
      <c r="D1032" t="s">
        <v>42</v>
      </c>
      <c r="E1032">
        <v>2023</v>
      </c>
      <c r="F1032" t="s">
        <v>86</v>
      </c>
      <c r="G1032" t="s">
        <v>87</v>
      </c>
      <c r="I1032" s="9"/>
      <c r="J1032" t="s">
        <v>67</v>
      </c>
      <c r="K1032" t="s">
        <v>68</v>
      </c>
    </row>
    <row r="1033" spans="1:11" hidden="1" x14ac:dyDescent="0.25">
      <c r="A1033" t="s">
        <v>81</v>
      </c>
      <c r="B1033" t="s">
        <v>82</v>
      </c>
      <c r="C1033" t="s">
        <v>41</v>
      </c>
      <c r="D1033" t="s">
        <v>42</v>
      </c>
      <c r="E1033">
        <v>2024</v>
      </c>
      <c r="F1033" t="s">
        <v>86</v>
      </c>
      <c r="G1033" t="s">
        <v>87</v>
      </c>
      <c r="I1033" s="9"/>
      <c r="J1033" t="s">
        <v>67</v>
      </c>
      <c r="K1033" t="s">
        <v>68</v>
      </c>
    </row>
    <row r="1034" spans="1:11" hidden="1" x14ac:dyDescent="0.25">
      <c r="A1034" t="s">
        <v>81</v>
      </c>
      <c r="B1034" t="s">
        <v>82</v>
      </c>
      <c r="C1034" t="s">
        <v>43</v>
      </c>
      <c r="D1034" t="s">
        <v>44</v>
      </c>
      <c r="E1034">
        <v>2019</v>
      </c>
      <c r="F1034" t="s">
        <v>86</v>
      </c>
      <c r="G1034" t="s">
        <v>87</v>
      </c>
      <c r="I1034" s="9"/>
      <c r="J1034" t="s">
        <v>67</v>
      </c>
      <c r="K1034" t="s">
        <v>68</v>
      </c>
    </row>
    <row r="1035" spans="1:11" hidden="1" x14ac:dyDescent="0.25">
      <c r="A1035" t="s">
        <v>81</v>
      </c>
      <c r="B1035" t="s">
        <v>82</v>
      </c>
      <c r="C1035" t="s">
        <v>43</v>
      </c>
      <c r="D1035" t="s">
        <v>44</v>
      </c>
      <c r="E1035">
        <v>2020</v>
      </c>
      <c r="F1035" t="s">
        <v>86</v>
      </c>
      <c r="G1035" t="s">
        <v>87</v>
      </c>
      <c r="I1035" s="9"/>
      <c r="J1035" t="s">
        <v>67</v>
      </c>
      <c r="K1035" t="s">
        <v>68</v>
      </c>
    </row>
    <row r="1036" spans="1:11" hidden="1" x14ac:dyDescent="0.25">
      <c r="A1036" t="s">
        <v>81</v>
      </c>
      <c r="B1036" t="s">
        <v>82</v>
      </c>
      <c r="C1036" t="s">
        <v>43</v>
      </c>
      <c r="D1036" t="s">
        <v>44</v>
      </c>
      <c r="E1036">
        <v>2021</v>
      </c>
      <c r="F1036" t="s">
        <v>86</v>
      </c>
      <c r="G1036" t="s">
        <v>87</v>
      </c>
      <c r="I1036" s="9"/>
      <c r="J1036" t="s">
        <v>67</v>
      </c>
      <c r="K1036" t="s">
        <v>68</v>
      </c>
    </row>
    <row r="1037" spans="1:11" hidden="1" x14ac:dyDescent="0.25">
      <c r="A1037" t="s">
        <v>81</v>
      </c>
      <c r="B1037" t="s">
        <v>82</v>
      </c>
      <c r="C1037" t="s">
        <v>43</v>
      </c>
      <c r="D1037" t="s">
        <v>44</v>
      </c>
      <c r="E1037">
        <v>2022</v>
      </c>
      <c r="F1037" t="s">
        <v>86</v>
      </c>
      <c r="G1037" t="s">
        <v>87</v>
      </c>
      <c r="I1037" s="9"/>
      <c r="J1037" t="s">
        <v>67</v>
      </c>
      <c r="K1037" t="s">
        <v>68</v>
      </c>
    </row>
    <row r="1038" spans="1:11" hidden="1" x14ac:dyDescent="0.25">
      <c r="A1038" t="s">
        <v>81</v>
      </c>
      <c r="B1038" t="s">
        <v>82</v>
      </c>
      <c r="C1038" t="s">
        <v>43</v>
      </c>
      <c r="D1038" t="s">
        <v>44</v>
      </c>
      <c r="E1038">
        <v>2023</v>
      </c>
      <c r="F1038" t="s">
        <v>86</v>
      </c>
      <c r="G1038" t="s">
        <v>87</v>
      </c>
      <c r="I1038" s="9"/>
      <c r="J1038" t="s">
        <v>67</v>
      </c>
      <c r="K1038" t="s">
        <v>68</v>
      </c>
    </row>
    <row r="1039" spans="1:11" hidden="1" x14ac:dyDescent="0.25">
      <c r="A1039" t="s">
        <v>81</v>
      </c>
      <c r="B1039" t="s">
        <v>82</v>
      </c>
      <c r="C1039" t="s">
        <v>43</v>
      </c>
      <c r="D1039" t="s">
        <v>44</v>
      </c>
      <c r="E1039">
        <v>2024</v>
      </c>
      <c r="F1039" t="s">
        <v>86</v>
      </c>
      <c r="G1039" t="s">
        <v>87</v>
      </c>
      <c r="I1039" s="9"/>
      <c r="J1039" t="s">
        <v>67</v>
      </c>
      <c r="K1039" t="s">
        <v>68</v>
      </c>
    </row>
    <row r="1040" spans="1:11" hidden="1" x14ac:dyDescent="0.25">
      <c r="A1040" t="s">
        <v>81</v>
      </c>
      <c r="B1040" t="s">
        <v>82</v>
      </c>
      <c r="C1040" t="s">
        <v>9</v>
      </c>
      <c r="D1040" t="s">
        <v>10</v>
      </c>
      <c r="E1040">
        <v>2019</v>
      </c>
      <c r="F1040" t="s">
        <v>88</v>
      </c>
      <c r="G1040" t="s">
        <v>89</v>
      </c>
      <c r="H1040">
        <v>1422.2849548044101</v>
      </c>
      <c r="I1040" s="9"/>
      <c r="J1040" t="s">
        <v>67</v>
      </c>
      <c r="K1040" t="s">
        <v>68</v>
      </c>
    </row>
    <row r="1041" spans="1:11" hidden="1" x14ac:dyDescent="0.25">
      <c r="A1041" t="s">
        <v>81</v>
      </c>
      <c r="B1041" t="s">
        <v>82</v>
      </c>
      <c r="C1041" t="s">
        <v>9</v>
      </c>
      <c r="D1041" t="s">
        <v>10</v>
      </c>
      <c r="E1041">
        <v>2020</v>
      </c>
      <c r="F1041" t="s">
        <v>88</v>
      </c>
      <c r="G1041" t="s">
        <v>89</v>
      </c>
      <c r="H1041">
        <v>1656.67173599583</v>
      </c>
      <c r="I1041" s="9">
        <v>234.38678119141991</v>
      </c>
      <c r="J1041" t="s">
        <v>67</v>
      </c>
      <c r="K1041" t="s">
        <v>68</v>
      </c>
    </row>
    <row r="1042" spans="1:11" hidden="1" x14ac:dyDescent="0.25">
      <c r="A1042" t="s">
        <v>81</v>
      </c>
      <c r="B1042" t="s">
        <v>82</v>
      </c>
      <c r="C1042" t="s">
        <v>9</v>
      </c>
      <c r="D1042" t="s">
        <v>10</v>
      </c>
      <c r="E1042">
        <v>2021</v>
      </c>
      <c r="F1042" t="s">
        <v>88</v>
      </c>
      <c r="G1042" t="s">
        <v>89</v>
      </c>
      <c r="H1042">
        <v>1877.2250844079299</v>
      </c>
      <c r="I1042" s="9">
        <v>220.55334841209992</v>
      </c>
      <c r="J1042" t="s">
        <v>67</v>
      </c>
      <c r="K1042" t="s">
        <v>68</v>
      </c>
    </row>
    <row r="1043" spans="1:11" hidden="1" x14ac:dyDescent="0.25">
      <c r="A1043" t="s">
        <v>81</v>
      </c>
      <c r="B1043" t="s">
        <v>82</v>
      </c>
      <c r="C1043" t="s">
        <v>9</v>
      </c>
      <c r="D1043" t="s">
        <v>10</v>
      </c>
      <c r="E1043">
        <v>2022</v>
      </c>
      <c r="F1043" t="s">
        <v>88</v>
      </c>
      <c r="G1043" t="s">
        <v>89</v>
      </c>
      <c r="H1043">
        <v>2224.4850710722399</v>
      </c>
      <c r="I1043" s="9">
        <v>347.25998666430996</v>
      </c>
      <c r="J1043" t="s">
        <v>67</v>
      </c>
      <c r="K1043" t="s">
        <v>68</v>
      </c>
    </row>
    <row r="1044" spans="1:11" hidden="1" x14ac:dyDescent="0.25">
      <c r="A1044" t="s">
        <v>81</v>
      </c>
      <c r="B1044" t="s">
        <v>82</v>
      </c>
      <c r="C1044" t="s">
        <v>9</v>
      </c>
      <c r="D1044" t="s">
        <v>10</v>
      </c>
      <c r="E1044">
        <v>2023</v>
      </c>
      <c r="F1044" t="s">
        <v>88</v>
      </c>
      <c r="G1044" t="s">
        <v>89</v>
      </c>
      <c r="H1044">
        <v>2229.49517982209</v>
      </c>
      <c r="I1044" s="9">
        <v>5.0101087498501329</v>
      </c>
      <c r="J1044" t="s">
        <v>67</v>
      </c>
      <c r="K1044" t="s">
        <v>68</v>
      </c>
    </row>
    <row r="1045" spans="1:11" hidden="1" x14ac:dyDescent="0.25">
      <c r="A1045" t="s">
        <v>81</v>
      </c>
      <c r="B1045" t="s">
        <v>82</v>
      </c>
      <c r="C1045" t="s">
        <v>9</v>
      </c>
      <c r="D1045" t="s">
        <v>10</v>
      </c>
      <c r="E1045">
        <v>2024</v>
      </c>
      <c r="F1045" t="s">
        <v>88</v>
      </c>
      <c r="G1045" t="s">
        <v>89</v>
      </c>
      <c r="H1045">
        <v>2429.38700738734</v>
      </c>
      <c r="I1045" s="9">
        <v>199.89182756524997</v>
      </c>
      <c r="J1045" t="s">
        <v>67</v>
      </c>
      <c r="K1045" t="s">
        <v>68</v>
      </c>
    </row>
    <row r="1046" spans="1:11" hidden="1" x14ac:dyDescent="0.25">
      <c r="A1046" t="s">
        <v>81</v>
      </c>
      <c r="B1046" t="s">
        <v>82</v>
      </c>
      <c r="C1046" t="s">
        <v>11</v>
      </c>
      <c r="D1046" t="s">
        <v>12</v>
      </c>
      <c r="E1046">
        <v>2019</v>
      </c>
      <c r="F1046" t="s">
        <v>88</v>
      </c>
      <c r="G1046" t="s">
        <v>89</v>
      </c>
      <c r="H1046">
        <v>1922.55558922256</v>
      </c>
      <c r="I1046" s="9"/>
      <c r="J1046" t="s">
        <v>67</v>
      </c>
      <c r="K1046" t="s">
        <v>68</v>
      </c>
    </row>
    <row r="1047" spans="1:11" hidden="1" x14ac:dyDescent="0.25">
      <c r="A1047" t="s">
        <v>81</v>
      </c>
      <c r="B1047" t="s">
        <v>82</v>
      </c>
      <c r="C1047" t="s">
        <v>11</v>
      </c>
      <c r="D1047" t="s">
        <v>12</v>
      </c>
      <c r="E1047">
        <v>2020</v>
      </c>
      <c r="F1047" t="s">
        <v>88</v>
      </c>
      <c r="G1047" t="s">
        <v>89</v>
      </c>
      <c r="H1047">
        <v>1937.59609804708</v>
      </c>
      <c r="I1047" s="9">
        <v>15.040508824519975</v>
      </c>
      <c r="J1047" t="s">
        <v>67</v>
      </c>
      <c r="K1047" t="s">
        <v>68</v>
      </c>
    </row>
    <row r="1048" spans="1:11" hidden="1" x14ac:dyDescent="0.25">
      <c r="A1048" t="s">
        <v>81</v>
      </c>
      <c r="B1048" t="s">
        <v>82</v>
      </c>
      <c r="C1048" t="s">
        <v>11</v>
      </c>
      <c r="D1048" t="s">
        <v>12</v>
      </c>
      <c r="E1048">
        <v>2021</v>
      </c>
      <c r="F1048" t="s">
        <v>88</v>
      </c>
      <c r="G1048" t="s">
        <v>89</v>
      </c>
      <c r="H1048">
        <v>2016.7218243104301</v>
      </c>
      <c r="I1048" s="9">
        <v>79.125726263350089</v>
      </c>
      <c r="J1048" t="s">
        <v>67</v>
      </c>
      <c r="K1048" t="s">
        <v>68</v>
      </c>
    </row>
    <row r="1049" spans="1:11" hidden="1" x14ac:dyDescent="0.25">
      <c r="A1049" t="s">
        <v>81</v>
      </c>
      <c r="B1049" t="s">
        <v>82</v>
      </c>
      <c r="C1049" t="s">
        <v>11</v>
      </c>
      <c r="D1049" t="s">
        <v>12</v>
      </c>
      <c r="E1049">
        <v>2022</v>
      </c>
      <c r="F1049" t="s">
        <v>88</v>
      </c>
      <c r="G1049" t="s">
        <v>89</v>
      </c>
      <c r="H1049">
        <v>2063.38106635038</v>
      </c>
      <c r="I1049" s="9">
        <v>46.659242039949959</v>
      </c>
      <c r="J1049" t="s">
        <v>67</v>
      </c>
      <c r="K1049" t="s">
        <v>68</v>
      </c>
    </row>
    <row r="1050" spans="1:11" hidden="1" x14ac:dyDescent="0.25">
      <c r="A1050" t="s">
        <v>81</v>
      </c>
      <c r="B1050" t="s">
        <v>82</v>
      </c>
      <c r="C1050" t="s">
        <v>11</v>
      </c>
      <c r="D1050" t="s">
        <v>12</v>
      </c>
      <c r="E1050">
        <v>2023</v>
      </c>
      <c r="F1050" t="s">
        <v>88</v>
      </c>
      <c r="G1050" t="s">
        <v>89</v>
      </c>
      <c r="H1050">
        <v>2125.83142210495</v>
      </c>
      <c r="I1050" s="9">
        <v>62.450355754569955</v>
      </c>
      <c r="J1050" t="s">
        <v>67</v>
      </c>
      <c r="K1050" t="s">
        <v>68</v>
      </c>
    </row>
    <row r="1051" spans="1:11" hidden="1" x14ac:dyDescent="0.25">
      <c r="A1051" t="s">
        <v>81</v>
      </c>
      <c r="B1051" t="s">
        <v>82</v>
      </c>
      <c r="C1051" t="s">
        <v>11</v>
      </c>
      <c r="D1051" t="s">
        <v>12</v>
      </c>
      <c r="E1051">
        <v>2024</v>
      </c>
      <c r="F1051" t="s">
        <v>88</v>
      </c>
      <c r="G1051" t="s">
        <v>89</v>
      </c>
      <c r="H1051">
        <v>2181.0942148008899</v>
      </c>
      <c r="I1051" s="9">
        <v>55.262792695939879</v>
      </c>
      <c r="J1051" t="s">
        <v>67</v>
      </c>
      <c r="K1051" t="s">
        <v>68</v>
      </c>
    </row>
    <row r="1052" spans="1:11" hidden="1" x14ac:dyDescent="0.25">
      <c r="A1052" t="s">
        <v>81</v>
      </c>
      <c r="B1052" t="s">
        <v>82</v>
      </c>
      <c r="C1052" t="s">
        <v>47</v>
      </c>
      <c r="D1052" t="s">
        <v>48</v>
      </c>
      <c r="E1052">
        <v>2019</v>
      </c>
      <c r="F1052" t="s">
        <v>88</v>
      </c>
      <c r="G1052" t="s">
        <v>89</v>
      </c>
      <c r="H1052">
        <v>1020.90738700681</v>
      </c>
      <c r="I1052" s="9"/>
      <c r="J1052" t="s">
        <v>67</v>
      </c>
      <c r="K1052" t="s">
        <v>68</v>
      </c>
    </row>
    <row r="1053" spans="1:11" hidden="1" x14ac:dyDescent="0.25">
      <c r="A1053" t="s">
        <v>81</v>
      </c>
      <c r="B1053" t="s">
        <v>82</v>
      </c>
      <c r="C1053" t="s">
        <v>47</v>
      </c>
      <c r="D1053" t="s">
        <v>48</v>
      </c>
      <c r="E1053">
        <v>2020</v>
      </c>
      <c r="F1053" t="s">
        <v>88</v>
      </c>
      <c r="G1053" t="s">
        <v>89</v>
      </c>
      <c r="H1053">
        <v>1156.0948516723599</v>
      </c>
      <c r="I1053" s="9">
        <v>135.1874646655499</v>
      </c>
      <c r="J1053" t="s">
        <v>67</v>
      </c>
      <c r="K1053" t="s">
        <v>68</v>
      </c>
    </row>
    <row r="1054" spans="1:11" hidden="1" x14ac:dyDescent="0.25">
      <c r="A1054" t="s">
        <v>81</v>
      </c>
      <c r="B1054" t="s">
        <v>82</v>
      </c>
      <c r="C1054" t="s">
        <v>47</v>
      </c>
      <c r="D1054" t="s">
        <v>48</v>
      </c>
      <c r="E1054">
        <v>2021</v>
      </c>
      <c r="F1054" t="s">
        <v>88</v>
      </c>
      <c r="G1054" t="s">
        <v>89</v>
      </c>
      <c r="H1054">
        <v>1282.7840903475301</v>
      </c>
      <c r="I1054" s="9">
        <v>126.68923867517015</v>
      </c>
      <c r="J1054" t="s">
        <v>67</v>
      </c>
      <c r="K1054" t="s">
        <v>68</v>
      </c>
    </row>
    <row r="1055" spans="1:11" hidden="1" x14ac:dyDescent="0.25">
      <c r="A1055" t="s">
        <v>81</v>
      </c>
      <c r="B1055" t="s">
        <v>82</v>
      </c>
      <c r="C1055" t="s">
        <v>47</v>
      </c>
      <c r="D1055" t="s">
        <v>48</v>
      </c>
      <c r="E1055">
        <v>2022</v>
      </c>
      <c r="F1055" t="s">
        <v>88</v>
      </c>
      <c r="G1055" t="s">
        <v>89</v>
      </c>
      <c r="H1055">
        <v>1719.0818262647699</v>
      </c>
      <c r="I1055" s="9">
        <v>436.29773591723983</v>
      </c>
      <c r="J1055" t="s">
        <v>67</v>
      </c>
      <c r="K1055" t="s">
        <v>68</v>
      </c>
    </row>
    <row r="1056" spans="1:11" hidden="1" x14ac:dyDescent="0.25">
      <c r="A1056" t="s">
        <v>81</v>
      </c>
      <c r="B1056" t="s">
        <v>82</v>
      </c>
      <c r="C1056" t="s">
        <v>47</v>
      </c>
      <c r="D1056" t="s">
        <v>48</v>
      </c>
      <c r="E1056">
        <v>2023</v>
      </c>
      <c r="F1056" t="s">
        <v>88</v>
      </c>
      <c r="G1056" t="s">
        <v>89</v>
      </c>
      <c r="H1056">
        <v>1722.05149560172</v>
      </c>
      <c r="I1056" s="9">
        <v>2.969669336950119</v>
      </c>
      <c r="J1056" t="s">
        <v>67</v>
      </c>
      <c r="K1056" t="s">
        <v>68</v>
      </c>
    </row>
    <row r="1057" spans="1:11" hidden="1" x14ac:dyDescent="0.25">
      <c r="A1057" t="s">
        <v>81</v>
      </c>
      <c r="B1057" t="s">
        <v>82</v>
      </c>
      <c r="C1057" t="s">
        <v>47</v>
      </c>
      <c r="D1057" t="s">
        <v>48</v>
      </c>
      <c r="E1057">
        <v>2024</v>
      </c>
      <c r="F1057" t="s">
        <v>88</v>
      </c>
      <c r="G1057" t="s">
        <v>89</v>
      </c>
      <c r="H1057">
        <v>1722.57577893042</v>
      </c>
      <c r="I1057" s="9">
        <v>0.52428332869999394</v>
      </c>
      <c r="J1057" t="s">
        <v>67</v>
      </c>
      <c r="K1057" t="s">
        <v>68</v>
      </c>
    </row>
    <row r="1058" spans="1:11" hidden="1" x14ac:dyDescent="0.25">
      <c r="A1058" t="s">
        <v>81</v>
      </c>
      <c r="B1058" t="s">
        <v>82</v>
      </c>
      <c r="C1058" t="s">
        <v>13</v>
      </c>
      <c r="D1058" t="s">
        <v>14</v>
      </c>
      <c r="E1058">
        <v>2019</v>
      </c>
      <c r="F1058" t="s">
        <v>88</v>
      </c>
      <c r="G1058" t="s">
        <v>89</v>
      </c>
      <c r="H1058">
        <v>808.08100459212005</v>
      </c>
      <c r="I1058" s="9"/>
      <c r="J1058" t="s">
        <v>67</v>
      </c>
      <c r="K1058" t="s">
        <v>68</v>
      </c>
    </row>
    <row r="1059" spans="1:11" hidden="1" x14ac:dyDescent="0.25">
      <c r="A1059" t="s">
        <v>81</v>
      </c>
      <c r="B1059" t="s">
        <v>82</v>
      </c>
      <c r="C1059" t="s">
        <v>13</v>
      </c>
      <c r="D1059" t="s">
        <v>14</v>
      </c>
      <c r="E1059">
        <v>2020</v>
      </c>
      <c r="F1059" t="s">
        <v>88</v>
      </c>
      <c r="G1059" t="s">
        <v>89</v>
      </c>
      <c r="H1059">
        <v>1078.0614271770501</v>
      </c>
      <c r="I1059" s="9">
        <v>269.98042258493001</v>
      </c>
      <c r="J1059" t="s">
        <v>67</v>
      </c>
      <c r="K1059" t="s">
        <v>68</v>
      </c>
    </row>
    <row r="1060" spans="1:11" hidden="1" x14ac:dyDescent="0.25">
      <c r="A1060" t="s">
        <v>81</v>
      </c>
      <c r="B1060" t="s">
        <v>82</v>
      </c>
      <c r="C1060" t="s">
        <v>13</v>
      </c>
      <c r="D1060" t="s">
        <v>14</v>
      </c>
      <c r="E1060">
        <v>2021</v>
      </c>
      <c r="F1060" t="s">
        <v>88</v>
      </c>
      <c r="G1060" t="s">
        <v>89</v>
      </c>
      <c r="H1060">
        <v>1133.6012628702499</v>
      </c>
      <c r="I1060" s="9">
        <v>55.539835693199848</v>
      </c>
      <c r="J1060" t="s">
        <v>67</v>
      </c>
      <c r="K1060" t="s">
        <v>68</v>
      </c>
    </row>
    <row r="1061" spans="1:11" hidden="1" x14ac:dyDescent="0.25">
      <c r="A1061" t="s">
        <v>81</v>
      </c>
      <c r="B1061" t="s">
        <v>82</v>
      </c>
      <c r="C1061" t="s">
        <v>13</v>
      </c>
      <c r="D1061" t="s">
        <v>14</v>
      </c>
      <c r="E1061">
        <v>2022</v>
      </c>
      <c r="F1061" t="s">
        <v>88</v>
      </c>
      <c r="G1061" t="s">
        <v>89</v>
      </c>
      <c r="H1061">
        <v>1044.8542835165399</v>
      </c>
      <c r="I1061" s="9">
        <v>-88.746979353710003</v>
      </c>
      <c r="J1061" t="s">
        <v>67</v>
      </c>
      <c r="K1061" t="s">
        <v>68</v>
      </c>
    </row>
    <row r="1062" spans="1:11" hidden="1" x14ac:dyDescent="0.25">
      <c r="A1062" t="s">
        <v>81</v>
      </c>
      <c r="B1062" t="s">
        <v>82</v>
      </c>
      <c r="C1062" t="s">
        <v>13</v>
      </c>
      <c r="D1062" t="s">
        <v>14</v>
      </c>
      <c r="E1062">
        <v>2023</v>
      </c>
      <c r="F1062" t="s">
        <v>88</v>
      </c>
      <c r="G1062" t="s">
        <v>89</v>
      </c>
      <c r="H1062">
        <v>961.80094804896805</v>
      </c>
      <c r="I1062" s="9">
        <v>-83.053335467571856</v>
      </c>
      <c r="J1062" t="s">
        <v>67</v>
      </c>
      <c r="K1062" t="s">
        <v>68</v>
      </c>
    </row>
    <row r="1063" spans="1:11" hidden="1" x14ac:dyDescent="0.25">
      <c r="A1063" t="s">
        <v>81</v>
      </c>
      <c r="B1063" t="s">
        <v>82</v>
      </c>
      <c r="C1063" t="s">
        <v>13</v>
      </c>
      <c r="D1063" t="s">
        <v>14</v>
      </c>
      <c r="E1063">
        <v>2024</v>
      </c>
      <c r="F1063" t="s">
        <v>88</v>
      </c>
      <c r="G1063" t="s">
        <v>89</v>
      </c>
      <c r="H1063">
        <v>907.30211563055695</v>
      </c>
      <c r="I1063" s="9">
        <v>-54.498832418411098</v>
      </c>
      <c r="J1063" t="s">
        <v>67</v>
      </c>
      <c r="K1063" t="s">
        <v>68</v>
      </c>
    </row>
    <row r="1064" spans="1:11" hidden="1" x14ac:dyDescent="0.25">
      <c r="A1064" t="s">
        <v>81</v>
      </c>
      <c r="B1064" t="s">
        <v>82</v>
      </c>
      <c r="C1064" t="s">
        <v>15</v>
      </c>
      <c r="D1064" t="s">
        <v>16</v>
      </c>
      <c r="E1064">
        <v>2019</v>
      </c>
      <c r="F1064" t="s">
        <v>88</v>
      </c>
      <c r="G1064" t="s">
        <v>89</v>
      </c>
      <c r="I1064" s="9"/>
      <c r="J1064" t="s">
        <v>67</v>
      </c>
      <c r="K1064" t="s">
        <v>68</v>
      </c>
    </row>
    <row r="1065" spans="1:11" hidden="1" x14ac:dyDescent="0.25">
      <c r="A1065" t="s">
        <v>81</v>
      </c>
      <c r="B1065" t="s">
        <v>82</v>
      </c>
      <c r="C1065" t="s">
        <v>15</v>
      </c>
      <c r="D1065" t="s">
        <v>16</v>
      </c>
      <c r="E1065">
        <v>2020</v>
      </c>
      <c r="F1065" t="s">
        <v>88</v>
      </c>
      <c r="G1065" t="s">
        <v>89</v>
      </c>
      <c r="I1065" s="9"/>
      <c r="J1065" t="s">
        <v>67</v>
      </c>
      <c r="K1065" t="s">
        <v>68</v>
      </c>
    </row>
    <row r="1066" spans="1:11" hidden="1" x14ac:dyDescent="0.25">
      <c r="A1066" t="s">
        <v>81</v>
      </c>
      <c r="B1066" t="s">
        <v>82</v>
      </c>
      <c r="C1066" t="s">
        <v>15</v>
      </c>
      <c r="D1066" t="s">
        <v>16</v>
      </c>
      <c r="E1066">
        <v>2021</v>
      </c>
      <c r="F1066" t="s">
        <v>88</v>
      </c>
      <c r="G1066" t="s">
        <v>89</v>
      </c>
      <c r="I1066" s="9"/>
      <c r="J1066" t="s">
        <v>67</v>
      </c>
      <c r="K1066" t="s">
        <v>68</v>
      </c>
    </row>
    <row r="1067" spans="1:11" hidden="1" x14ac:dyDescent="0.25">
      <c r="A1067" t="s">
        <v>81</v>
      </c>
      <c r="B1067" t="s">
        <v>82</v>
      </c>
      <c r="C1067" t="s">
        <v>15</v>
      </c>
      <c r="D1067" t="s">
        <v>16</v>
      </c>
      <c r="E1067">
        <v>2022</v>
      </c>
      <c r="F1067" t="s">
        <v>88</v>
      </c>
      <c r="G1067" t="s">
        <v>89</v>
      </c>
      <c r="I1067" s="9"/>
      <c r="J1067" t="s">
        <v>67</v>
      </c>
      <c r="K1067" t="s">
        <v>68</v>
      </c>
    </row>
    <row r="1068" spans="1:11" hidden="1" x14ac:dyDescent="0.25">
      <c r="A1068" t="s">
        <v>81</v>
      </c>
      <c r="B1068" t="s">
        <v>82</v>
      </c>
      <c r="C1068" t="s">
        <v>15</v>
      </c>
      <c r="D1068" t="s">
        <v>16</v>
      </c>
      <c r="E1068">
        <v>2023</v>
      </c>
      <c r="F1068" t="s">
        <v>88</v>
      </c>
      <c r="G1068" t="s">
        <v>89</v>
      </c>
      <c r="I1068" s="9"/>
      <c r="J1068" t="s">
        <v>67</v>
      </c>
      <c r="K1068" t="s">
        <v>68</v>
      </c>
    </row>
    <row r="1069" spans="1:11" hidden="1" x14ac:dyDescent="0.25">
      <c r="A1069" t="s">
        <v>81</v>
      </c>
      <c r="B1069" t="s">
        <v>82</v>
      </c>
      <c r="C1069" t="s">
        <v>15</v>
      </c>
      <c r="D1069" t="s">
        <v>16</v>
      </c>
      <c r="E1069">
        <v>2024</v>
      </c>
      <c r="F1069" t="s">
        <v>88</v>
      </c>
      <c r="G1069" t="s">
        <v>89</v>
      </c>
      <c r="I1069" s="9"/>
      <c r="J1069" t="s">
        <v>67</v>
      </c>
      <c r="K1069" t="s">
        <v>68</v>
      </c>
    </row>
    <row r="1070" spans="1:11" hidden="1" x14ac:dyDescent="0.25">
      <c r="A1070" t="s">
        <v>81</v>
      </c>
      <c r="B1070" t="s">
        <v>82</v>
      </c>
      <c r="C1070" t="s">
        <v>17</v>
      </c>
      <c r="D1070" t="s">
        <v>18</v>
      </c>
      <c r="E1070">
        <v>2019</v>
      </c>
      <c r="F1070" t="s">
        <v>88</v>
      </c>
      <c r="G1070" t="s">
        <v>89</v>
      </c>
      <c r="H1070">
        <v>6663.0726425078101</v>
      </c>
      <c r="I1070" s="9"/>
      <c r="J1070" t="s">
        <v>67</v>
      </c>
      <c r="K1070" t="s">
        <v>68</v>
      </c>
    </row>
    <row r="1071" spans="1:11" hidden="1" x14ac:dyDescent="0.25">
      <c r="A1071" t="s">
        <v>81</v>
      </c>
      <c r="B1071" t="s">
        <v>82</v>
      </c>
      <c r="C1071" t="s">
        <v>17</v>
      </c>
      <c r="D1071" t="s">
        <v>18</v>
      </c>
      <c r="E1071">
        <v>2020</v>
      </c>
      <c r="F1071" t="s">
        <v>88</v>
      </c>
      <c r="G1071" t="s">
        <v>89</v>
      </c>
      <c r="H1071">
        <v>7062.9028955521298</v>
      </c>
      <c r="I1071" s="9">
        <v>399.83025304431976</v>
      </c>
      <c r="J1071" t="s">
        <v>67</v>
      </c>
      <c r="K1071" t="s">
        <v>68</v>
      </c>
    </row>
    <row r="1072" spans="1:11" hidden="1" x14ac:dyDescent="0.25">
      <c r="A1072" t="s">
        <v>81</v>
      </c>
      <c r="B1072" t="s">
        <v>82</v>
      </c>
      <c r="C1072" t="s">
        <v>17</v>
      </c>
      <c r="D1072" t="s">
        <v>18</v>
      </c>
      <c r="E1072">
        <v>2021</v>
      </c>
      <c r="F1072" t="s">
        <v>88</v>
      </c>
      <c r="G1072" t="s">
        <v>89</v>
      </c>
      <c r="H1072">
        <v>7256.6174990955597</v>
      </c>
      <c r="I1072" s="9">
        <v>193.7146035434298</v>
      </c>
      <c r="J1072" t="s">
        <v>67</v>
      </c>
      <c r="K1072" t="s">
        <v>68</v>
      </c>
    </row>
    <row r="1073" spans="1:11" hidden="1" x14ac:dyDescent="0.25">
      <c r="A1073" t="s">
        <v>81</v>
      </c>
      <c r="B1073" t="s">
        <v>82</v>
      </c>
      <c r="C1073" t="s">
        <v>17</v>
      </c>
      <c r="D1073" t="s">
        <v>18</v>
      </c>
      <c r="E1073">
        <v>2022</v>
      </c>
      <c r="F1073" t="s">
        <v>88</v>
      </c>
      <c r="G1073" t="s">
        <v>89</v>
      </c>
      <c r="H1073">
        <v>7416.3612173932997</v>
      </c>
      <c r="I1073" s="9">
        <v>159.74371829774009</v>
      </c>
      <c r="J1073" t="s">
        <v>67</v>
      </c>
      <c r="K1073" t="s">
        <v>68</v>
      </c>
    </row>
    <row r="1074" spans="1:11" hidden="1" x14ac:dyDescent="0.25">
      <c r="A1074" t="s">
        <v>81</v>
      </c>
      <c r="B1074" t="s">
        <v>82</v>
      </c>
      <c r="C1074" t="s">
        <v>17</v>
      </c>
      <c r="D1074" t="s">
        <v>18</v>
      </c>
      <c r="E1074">
        <v>2023</v>
      </c>
      <c r="F1074" t="s">
        <v>88</v>
      </c>
      <c r="G1074" t="s">
        <v>89</v>
      </c>
      <c r="H1074">
        <v>7665.6442725514999</v>
      </c>
      <c r="I1074" s="9">
        <v>249.28305515820011</v>
      </c>
      <c r="J1074" t="s">
        <v>67</v>
      </c>
      <c r="K1074" t="s">
        <v>68</v>
      </c>
    </row>
    <row r="1075" spans="1:11" hidden="1" x14ac:dyDescent="0.25">
      <c r="A1075" t="s">
        <v>81</v>
      </c>
      <c r="B1075" t="s">
        <v>82</v>
      </c>
      <c r="C1075" t="s">
        <v>17</v>
      </c>
      <c r="D1075" t="s">
        <v>18</v>
      </c>
      <c r="E1075">
        <v>2024</v>
      </c>
      <c r="F1075" t="s">
        <v>88</v>
      </c>
      <c r="G1075" t="s">
        <v>89</v>
      </c>
      <c r="H1075">
        <v>7762.1902586956003</v>
      </c>
      <c r="I1075" s="9">
        <v>96.545986144100425</v>
      </c>
      <c r="J1075" t="s">
        <v>67</v>
      </c>
      <c r="K1075" t="s">
        <v>68</v>
      </c>
    </row>
    <row r="1076" spans="1:11" hidden="1" x14ac:dyDescent="0.25">
      <c r="A1076" t="s">
        <v>81</v>
      </c>
      <c r="B1076" t="s">
        <v>82</v>
      </c>
      <c r="C1076" t="s">
        <v>19</v>
      </c>
      <c r="D1076" t="s">
        <v>20</v>
      </c>
      <c r="E1076">
        <v>2019</v>
      </c>
      <c r="F1076" t="s">
        <v>88</v>
      </c>
      <c r="G1076" t="s">
        <v>89</v>
      </c>
      <c r="H1076">
        <v>1280.6904589533401</v>
      </c>
      <c r="I1076" s="9"/>
      <c r="J1076" t="s">
        <v>67</v>
      </c>
      <c r="K1076" t="s">
        <v>68</v>
      </c>
    </row>
    <row r="1077" spans="1:11" hidden="1" x14ac:dyDescent="0.25">
      <c r="A1077" t="s">
        <v>81</v>
      </c>
      <c r="B1077" t="s">
        <v>82</v>
      </c>
      <c r="C1077" t="s">
        <v>19</v>
      </c>
      <c r="D1077" t="s">
        <v>20</v>
      </c>
      <c r="E1077">
        <v>2020</v>
      </c>
      <c r="F1077" t="s">
        <v>88</v>
      </c>
      <c r="G1077" t="s">
        <v>89</v>
      </c>
      <c r="H1077">
        <v>1302.5861369573799</v>
      </c>
      <c r="I1077" s="9">
        <v>21.895678004039837</v>
      </c>
      <c r="J1077" t="s">
        <v>67</v>
      </c>
      <c r="K1077" t="s">
        <v>68</v>
      </c>
    </row>
    <row r="1078" spans="1:11" hidden="1" x14ac:dyDescent="0.25">
      <c r="A1078" t="s">
        <v>81</v>
      </c>
      <c r="B1078" t="s">
        <v>82</v>
      </c>
      <c r="C1078" t="s">
        <v>19</v>
      </c>
      <c r="D1078" t="s">
        <v>20</v>
      </c>
      <c r="E1078">
        <v>2021</v>
      </c>
      <c r="F1078" t="s">
        <v>88</v>
      </c>
      <c r="G1078" t="s">
        <v>89</v>
      </c>
      <c r="H1078">
        <v>1316.27751162492</v>
      </c>
      <c r="I1078" s="9">
        <v>13.691374667540003</v>
      </c>
      <c r="J1078" t="s">
        <v>67</v>
      </c>
      <c r="K1078" t="s">
        <v>68</v>
      </c>
    </row>
    <row r="1079" spans="1:11" hidden="1" x14ac:dyDescent="0.25">
      <c r="A1079" t="s">
        <v>81</v>
      </c>
      <c r="B1079" t="s">
        <v>82</v>
      </c>
      <c r="C1079" t="s">
        <v>19</v>
      </c>
      <c r="D1079" t="s">
        <v>20</v>
      </c>
      <c r="E1079">
        <v>2022</v>
      </c>
      <c r="F1079" t="s">
        <v>88</v>
      </c>
      <c r="G1079" t="s">
        <v>89</v>
      </c>
      <c r="H1079">
        <v>1345.7858663443301</v>
      </c>
      <c r="I1079" s="9">
        <v>29.508354719410136</v>
      </c>
      <c r="J1079" t="s">
        <v>67</v>
      </c>
      <c r="K1079" t="s">
        <v>68</v>
      </c>
    </row>
    <row r="1080" spans="1:11" hidden="1" x14ac:dyDescent="0.25">
      <c r="A1080" t="s">
        <v>81</v>
      </c>
      <c r="B1080" t="s">
        <v>82</v>
      </c>
      <c r="C1080" t="s">
        <v>19</v>
      </c>
      <c r="D1080" t="s">
        <v>20</v>
      </c>
      <c r="E1080">
        <v>2023</v>
      </c>
      <c r="F1080" t="s">
        <v>88</v>
      </c>
      <c r="G1080" t="s">
        <v>89</v>
      </c>
      <c r="H1080">
        <v>1355.0234697103999</v>
      </c>
      <c r="I1080" s="9">
        <v>9.237603366069834</v>
      </c>
      <c r="J1080" t="s">
        <v>67</v>
      </c>
      <c r="K1080" t="s">
        <v>68</v>
      </c>
    </row>
    <row r="1081" spans="1:11" hidden="1" x14ac:dyDescent="0.25">
      <c r="A1081" t="s">
        <v>81</v>
      </c>
      <c r="B1081" t="s">
        <v>82</v>
      </c>
      <c r="C1081" t="s">
        <v>19</v>
      </c>
      <c r="D1081" t="s">
        <v>20</v>
      </c>
      <c r="E1081">
        <v>2024</v>
      </c>
      <c r="F1081" t="s">
        <v>88</v>
      </c>
      <c r="G1081" t="s">
        <v>89</v>
      </c>
      <c r="H1081">
        <v>1345.9671049834701</v>
      </c>
      <c r="I1081" s="9">
        <v>-9.0563647269298144</v>
      </c>
      <c r="J1081" t="s">
        <v>67</v>
      </c>
      <c r="K1081" t="s">
        <v>68</v>
      </c>
    </row>
    <row r="1082" spans="1:11" hidden="1" x14ac:dyDescent="0.25">
      <c r="A1082" t="s">
        <v>81</v>
      </c>
      <c r="B1082" t="s">
        <v>82</v>
      </c>
      <c r="C1082" t="s">
        <v>21</v>
      </c>
      <c r="D1082" t="s">
        <v>22</v>
      </c>
      <c r="E1082">
        <v>2019</v>
      </c>
      <c r="F1082" t="s">
        <v>88</v>
      </c>
      <c r="G1082" t="s">
        <v>89</v>
      </c>
      <c r="H1082">
        <v>1612.2759251201301</v>
      </c>
      <c r="I1082" s="9"/>
      <c r="J1082" t="s">
        <v>67</v>
      </c>
      <c r="K1082" t="s">
        <v>68</v>
      </c>
    </row>
    <row r="1083" spans="1:11" hidden="1" x14ac:dyDescent="0.25">
      <c r="A1083" t="s">
        <v>81</v>
      </c>
      <c r="B1083" t="s">
        <v>82</v>
      </c>
      <c r="C1083" t="s">
        <v>21</v>
      </c>
      <c r="D1083" t="s">
        <v>22</v>
      </c>
      <c r="E1083">
        <v>2020</v>
      </c>
      <c r="F1083" t="s">
        <v>88</v>
      </c>
      <c r="G1083" t="s">
        <v>89</v>
      </c>
      <c r="H1083">
        <v>1650.8398012083501</v>
      </c>
      <c r="I1083" s="9">
        <v>38.563876088220013</v>
      </c>
      <c r="J1083" t="s">
        <v>67</v>
      </c>
      <c r="K1083" t="s">
        <v>68</v>
      </c>
    </row>
    <row r="1084" spans="1:11" hidden="1" x14ac:dyDescent="0.25">
      <c r="A1084" t="s">
        <v>81</v>
      </c>
      <c r="B1084" t="s">
        <v>82</v>
      </c>
      <c r="C1084" t="s">
        <v>21</v>
      </c>
      <c r="D1084" t="s">
        <v>22</v>
      </c>
      <c r="E1084">
        <v>2021</v>
      </c>
      <c r="F1084" t="s">
        <v>88</v>
      </c>
      <c r="G1084" t="s">
        <v>89</v>
      </c>
      <c r="H1084">
        <v>1693.5860933022</v>
      </c>
      <c r="I1084" s="9">
        <v>42.746292093849888</v>
      </c>
      <c r="J1084" t="s">
        <v>67</v>
      </c>
      <c r="K1084" t="s">
        <v>68</v>
      </c>
    </row>
    <row r="1085" spans="1:11" hidden="1" x14ac:dyDescent="0.25">
      <c r="A1085" t="s">
        <v>81</v>
      </c>
      <c r="B1085" t="s">
        <v>82</v>
      </c>
      <c r="C1085" t="s">
        <v>21</v>
      </c>
      <c r="D1085" t="s">
        <v>22</v>
      </c>
      <c r="E1085">
        <v>2022</v>
      </c>
      <c r="F1085" t="s">
        <v>88</v>
      </c>
      <c r="G1085" t="s">
        <v>89</v>
      </c>
      <c r="H1085">
        <v>1837.6852076519201</v>
      </c>
      <c r="I1085" s="9">
        <v>144.09911434972014</v>
      </c>
      <c r="J1085" t="s">
        <v>67</v>
      </c>
      <c r="K1085" t="s">
        <v>68</v>
      </c>
    </row>
    <row r="1086" spans="1:11" hidden="1" x14ac:dyDescent="0.25">
      <c r="A1086" t="s">
        <v>81</v>
      </c>
      <c r="B1086" t="s">
        <v>82</v>
      </c>
      <c r="C1086" t="s">
        <v>21</v>
      </c>
      <c r="D1086" t="s">
        <v>22</v>
      </c>
      <c r="E1086">
        <v>2023</v>
      </c>
      <c r="F1086" t="s">
        <v>88</v>
      </c>
      <c r="G1086" t="s">
        <v>89</v>
      </c>
      <c r="H1086">
        <v>1984.2500181650701</v>
      </c>
      <c r="I1086" s="9">
        <v>146.56481051314995</v>
      </c>
      <c r="J1086" t="s">
        <v>67</v>
      </c>
      <c r="K1086" t="s">
        <v>68</v>
      </c>
    </row>
    <row r="1087" spans="1:11" hidden="1" x14ac:dyDescent="0.25">
      <c r="A1087" t="s">
        <v>81</v>
      </c>
      <c r="B1087" t="s">
        <v>82</v>
      </c>
      <c r="C1087" t="s">
        <v>21</v>
      </c>
      <c r="D1087" t="s">
        <v>22</v>
      </c>
      <c r="E1087">
        <v>2024</v>
      </c>
      <c r="F1087" t="s">
        <v>88</v>
      </c>
      <c r="G1087" t="s">
        <v>89</v>
      </c>
      <c r="I1087" s="9"/>
      <c r="J1087" t="s">
        <v>67</v>
      </c>
      <c r="K1087" t="s">
        <v>68</v>
      </c>
    </row>
    <row r="1088" spans="1:11" hidden="1" x14ac:dyDescent="0.25">
      <c r="A1088" t="s">
        <v>81</v>
      </c>
      <c r="B1088" t="s">
        <v>82</v>
      </c>
      <c r="C1088" t="s">
        <v>23</v>
      </c>
      <c r="D1088" t="s">
        <v>24</v>
      </c>
      <c r="E1088">
        <v>2019</v>
      </c>
      <c r="F1088" t="s">
        <v>88</v>
      </c>
      <c r="G1088" t="s">
        <v>89</v>
      </c>
      <c r="H1088">
        <v>891.26660719045697</v>
      </c>
      <c r="I1088" s="9"/>
      <c r="J1088" t="s">
        <v>67</v>
      </c>
      <c r="K1088" t="s">
        <v>68</v>
      </c>
    </row>
    <row r="1089" spans="1:11" hidden="1" x14ac:dyDescent="0.25">
      <c r="A1089" t="s">
        <v>81</v>
      </c>
      <c r="B1089" t="s">
        <v>82</v>
      </c>
      <c r="C1089" t="s">
        <v>23</v>
      </c>
      <c r="D1089" t="s">
        <v>24</v>
      </c>
      <c r="E1089">
        <v>2020</v>
      </c>
      <c r="F1089" t="s">
        <v>88</v>
      </c>
      <c r="G1089" t="s">
        <v>89</v>
      </c>
      <c r="H1089">
        <v>802.02053387652995</v>
      </c>
      <c r="I1089" s="9">
        <v>-89.246073313927013</v>
      </c>
      <c r="J1089" t="s">
        <v>67</v>
      </c>
      <c r="K1089" t="s">
        <v>68</v>
      </c>
    </row>
    <row r="1090" spans="1:11" hidden="1" x14ac:dyDescent="0.25">
      <c r="A1090" t="s">
        <v>81</v>
      </c>
      <c r="B1090" t="s">
        <v>82</v>
      </c>
      <c r="C1090" t="s">
        <v>23</v>
      </c>
      <c r="D1090" t="s">
        <v>24</v>
      </c>
      <c r="E1090">
        <v>2021</v>
      </c>
      <c r="F1090" t="s">
        <v>88</v>
      </c>
      <c r="G1090" t="s">
        <v>89</v>
      </c>
      <c r="H1090">
        <v>857.18375659001401</v>
      </c>
      <c r="I1090" s="9">
        <v>55.16322271348406</v>
      </c>
      <c r="J1090" t="s">
        <v>67</v>
      </c>
      <c r="K1090" t="s">
        <v>68</v>
      </c>
    </row>
    <row r="1091" spans="1:11" hidden="1" x14ac:dyDescent="0.25">
      <c r="A1091" t="s">
        <v>81</v>
      </c>
      <c r="B1091" t="s">
        <v>82</v>
      </c>
      <c r="C1091" t="s">
        <v>23</v>
      </c>
      <c r="D1091" t="s">
        <v>24</v>
      </c>
      <c r="E1091">
        <v>2022</v>
      </c>
      <c r="F1091" t="s">
        <v>88</v>
      </c>
      <c r="G1091" t="s">
        <v>89</v>
      </c>
      <c r="H1091">
        <v>863.99796860526999</v>
      </c>
      <c r="I1091" s="9">
        <v>6.8142120152559755</v>
      </c>
      <c r="J1091" t="s">
        <v>67</v>
      </c>
      <c r="K1091" t="s">
        <v>68</v>
      </c>
    </row>
    <row r="1092" spans="1:11" hidden="1" x14ac:dyDescent="0.25">
      <c r="A1092" t="s">
        <v>81</v>
      </c>
      <c r="B1092" t="s">
        <v>82</v>
      </c>
      <c r="C1092" t="s">
        <v>23</v>
      </c>
      <c r="D1092" t="s">
        <v>24</v>
      </c>
      <c r="E1092">
        <v>2023</v>
      </c>
      <c r="F1092" t="s">
        <v>88</v>
      </c>
      <c r="G1092" t="s">
        <v>89</v>
      </c>
      <c r="H1092">
        <v>891.92780305490203</v>
      </c>
      <c r="I1092" s="9">
        <v>27.92983444963204</v>
      </c>
      <c r="J1092" t="s">
        <v>67</v>
      </c>
      <c r="K1092" t="s">
        <v>68</v>
      </c>
    </row>
    <row r="1093" spans="1:11" hidden="1" x14ac:dyDescent="0.25">
      <c r="A1093" t="s">
        <v>81</v>
      </c>
      <c r="B1093" t="s">
        <v>82</v>
      </c>
      <c r="C1093" t="s">
        <v>23</v>
      </c>
      <c r="D1093" t="s">
        <v>24</v>
      </c>
      <c r="E1093">
        <v>2024</v>
      </c>
      <c r="F1093" t="s">
        <v>88</v>
      </c>
      <c r="G1093" t="s">
        <v>89</v>
      </c>
      <c r="H1093">
        <v>882.28562815908401</v>
      </c>
      <c r="I1093" s="9">
        <v>-9.642174895818016</v>
      </c>
      <c r="J1093" t="s">
        <v>67</v>
      </c>
      <c r="K1093" t="s">
        <v>68</v>
      </c>
    </row>
    <row r="1094" spans="1:11" hidden="1" x14ac:dyDescent="0.25">
      <c r="A1094" t="s">
        <v>81</v>
      </c>
      <c r="B1094" t="s">
        <v>82</v>
      </c>
      <c r="C1094" t="s">
        <v>25</v>
      </c>
      <c r="D1094" t="s">
        <v>26</v>
      </c>
      <c r="E1094">
        <v>2019</v>
      </c>
      <c r="F1094" t="s">
        <v>88</v>
      </c>
      <c r="G1094" t="s">
        <v>89</v>
      </c>
      <c r="H1094">
        <v>866.20040686506502</v>
      </c>
      <c r="I1094" s="9"/>
      <c r="J1094" t="s">
        <v>67</v>
      </c>
      <c r="K1094" t="s">
        <v>68</v>
      </c>
    </row>
    <row r="1095" spans="1:11" hidden="1" x14ac:dyDescent="0.25">
      <c r="A1095" t="s">
        <v>81</v>
      </c>
      <c r="B1095" t="s">
        <v>82</v>
      </c>
      <c r="C1095" t="s">
        <v>25</v>
      </c>
      <c r="D1095" t="s">
        <v>26</v>
      </c>
      <c r="E1095">
        <v>2020</v>
      </c>
      <c r="F1095" t="s">
        <v>88</v>
      </c>
      <c r="G1095" t="s">
        <v>89</v>
      </c>
      <c r="H1095">
        <v>1001.3972414374</v>
      </c>
      <c r="I1095" s="9">
        <v>135.19683457233498</v>
      </c>
      <c r="J1095" t="s">
        <v>67</v>
      </c>
      <c r="K1095" t="s">
        <v>68</v>
      </c>
    </row>
    <row r="1096" spans="1:11" hidden="1" x14ac:dyDescent="0.25">
      <c r="A1096" t="s">
        <v>81</v>
      </c>
      <c r="B1096" t="s">
        <v>82</v>
      </c>
      <c r="C1096" t="s">
        <v>25</v>
      </c>
      <c r="D1096" t="s">
        <v>26</v>
      </c>
      <c r="E1096">
        <v>2021</v>
      </c>
      <c r="F1096" t="s">
        <v>88</v>
      </c>
      <c r="G1096" t="s">
        <v>89</v>
      </c>
      <c r="H1096">
        <v>1074.3923566675101</v>
      </c>
      <c r="I1096" s="9">
        <v>72.995115230110059</v>
      </c>
      <c r="J1096" t="s">
        <v>67</v>
      </c>
      <c r="K1096" t="s">
        <v>68</v>
      </c>
    </row>
    <row r="1097" spans="1:11" hidden="1" x14ac:dyDescent="0.25">
      <c r="A1097" t="s">
        <v>81</v>
      </c>
      <c r="B1097" t="s">
        <v>82</v>
      </c>
      <c r="C1097" t="s">
        <v>25</v>
      </c>
      <c r="D1097" t="s">
        <v>26</v>
      </c>
      <c r="E1097">
        <v>2022</v>
      </c>
      <c r="F1097" t="s">
        <v>88</v>
      </c>
      <c r="G1097" t="s">
        <v>89</v>
      </c>
      <c r="H1097">
        <v>1206.8800912196</v>
      </c>
      <c r="I1097" s="9">
        <v>132.48773455208993</v>
      </c>
      <c r="J1097" t="s">
        <v>67</v>
      </c>
      <c r="K1097" t="s">
        <v>68</v>
      </c>
    </row>
    <row r="1098" spans="1:11" hidden="1" x14ac:dyDescent="0.25">
      <c r="A1098" t="s">
        <v>81</v>
      </c>
      <c r="B1098" t="s">
        <v>82</v>
      </c>
      <c r="C1098" t="s">
        <v>25</v>
      </c>
      <c r="D1098" t="s">
        <v>26</v>
      </c>
      <c r="E1098">
        <v>2023</v>
      </c>
      <c r="F1098" t="s">
        <v>88</v>
      </c>
      <c r="G1098" t="s">
        <v>89</v>
      </c>
      <c r="H1098">
        <v>1333.5159465720501</v>
      </c>
      <c r="I1098" s="9">
        <v>126.63585535245011</v>
      </c>
      <c r="J1098" t="s">
        <v>67</v>
      </c>
      <c r="K1098" t="s">
        <v>68</v>
      </c>
    </row>
    <row r="1099" spans="1:11" hidden="1" x14ac:dyDescent="0.25">
      <c r="A1099" t="s">
        <v>81</v>
      </c>
      <c r="B1099" t="s">
        <v>82</v>
      </c>
      <c r="C1099" t="s">
        <v>25</v>
      </c>
      <c r="D1099" t="s">
        <v>26</v>
      </c>
      <c r="E1099">
        <v>2024</v>
      </c>
      <c r="F1099" t="s">
        <v>88</v>
      </c>
      <c r="G1099" t="s">
        <v>89</v>
      </c>
      <c r="H1099">
        <v>1504.7860051217899</v>
      </c>
      <c r="I1099" s="9">
        <v>171.27005854973982</v>
      </c>
      <c r="J1099" t="s">
        <v>67</v>
      </c>
      <c r="K1099" t="s">
        <v>68</v>
      </c>
    </row>
    <row r="1100" spans="1:11" hidden="1" x14ac:dyDescent="0.25">
      <c r="A1100" t="s">
        <v>81</v>
      </c>
      <c r="B1100" t="s">
        <v>82</v>
      </c>
      <c r="C1100" t="s">
        <v>27</v>
      </c>
      <c r="D1100" t="s">
        <v>28</v>
      </c>
      <c r="E1100">
        <v>2019</v>
      </c>
      <c r="F1100" t="s">
        <v>88</v>
      </c>
      <c r="G1100" t="s">
        <v>89</v>
      </c>
      <c r="H1100">
        <v>1101.1928617247299</v>
      </c>
      <c r="I1100" s="9"/>
      <c r="J1100" t="s">
        <v>67</v>
      </c>
      <c r="K1100" t="s">
        <v>68</v>
      </c>
    </row>
    <row r="1101" spans="1:11" hidden="1" x14ac:dyDescent="0.25">
      <c r="A1101" t="s">
        <v>81</v>
      </c>
      <c r="B1101" t="s">
        <v>82</v>
      </c>
      <c r="C1101" t="s">
        <v>27</v>
      </c>
      <c r="D1101" t="s">
        <v>28</v>
      </c>
      <c r="E1101">
        <v>2020</v>
      </c>
      <c r="F1101" t="s">
        <v>88</v>
      </c>
      <c r="G1101" t="s">
        <v>89</v>
      </c>
      <c r="H1101">
        <v>1146.7278352855201</v>
      </c>
      <c r="I1101" s="9">
        <v>45.534973560790149</v>
      </c>
      <c r="J1101" t="s">
        <v>67</v>
      </c>
      <c r="K1101" t="s">
        <v>68</v>
      </c>
    </row>
    <row r="1102" spans="1:11" hidden="1" x14ac:dyDescent="0.25">
      <c r="A1102" t="s">
        <v>81</v>
      </c>
      <c r="B1102" t="s">
        <v>82</v>
      </c>
      <c r="C1102" t="s">
        <v>27</v>
      </c>
      <c r="D1102" t="s">
        <v>28</v>
      </c>
      <c r="E1102">
        <v>2021</v>
      </c>
      <c r="F1102" t="s">
        <v>88</v>
      </c>
      <c r="G1102" t="s">
        <v>89</v>
      </c>
      <c r="H1102">
        <v>1179.3230569539801</v>
      </c>
      <c r="I1102" s="9">
        <v>32.595221668459999</v>
      </c>
      <c r="J1102" t="s">
        <v>67</v>
      </c>
      <c r="K1102" t="s">
        <v>68</v>
      </c>
    </row>
    <row r="1103" spans="1:11" hidden="1" x14ac:dyDescent="0.25">
      <c r="A1103" t="s">
        <v>81</v>
      </c>
      <c r="B1103" t="s">
        <v>82</v>
      </c>
      <c r="C1103" t="s">
        <v>27</v>
      </c>
      <c r="D1103" t="s">
        <v>28</v>
      </c>
      <c r="E1103">
        <v>2022</v>
      </c>
      <c r="F1103" t="s">
        <v>88</v>
      </c>
      <c r="G1103" t="s">
        <v>89</v>
      </c>
      <c r="H1103">
        <v>1251.32480358014</v>
      </c>
      <c r="I1103" s="9">
        <v>72.001746626159957</v>
      </c>
      <c r="J1103" t="s">
        <v>67</v>
      </c>
      <c r="K1103" t="s">
        <v>68</v>
      </c>
    </row>
    <row r="1104" spans="1:11" hidden="1" x14ac:dyDescent="0.25">
      <c r="A1104" t="s">
        <v>81</v>
      </c>
      <c r="B1104" t="s">
        <v>82</v>
      </c>
      <c r="C1104" t="s">
        <v>27</v>
      </c>
      <c r="D1104" t="s">
        <v>28</v>
      </c>
      <c r="E1104">
        <v>2023</v>
      </c>
      <c r="F1104" t="s">
        <v>88</v>
      </c>
      <c r="G1104" t="s">
        <v>89</v>
      </c>
      <c r="H1104">
        <v>1301.18143005972</v>
      </c>
      <c r="I1104" s="9">
        <v>49.856626479579973</v>
      </c>
      <c r="J1104" t="s">
        <v>67</v>
      </c>
      <c r="K1104" t="s">
        <v>68</v>
      </c>
    </row>
    <row r="1105" spans="1:11" hidden="1" x14ac:dyDescent="0.25">
      <c r="A1105" t="s">
        <v>81</v>
      </c>
      <c r="B1105" t="s">
        <v>82</v>
      </c>
      <c r="C1105" t="s">
        <v>27</v>
      </c>
      <c r="D1105" t="s">
        <v>28</v>
      </c>
      <c r="E1105">
        <v>2024</v>
      </c>
      <c r="F1105" t="s">
        <v>88</v>
      </c>
      <c r="G1105" t="s">
        <v>89</v>
      </c>
      <c r="H1105">
        <v>1248.32541946674</v>
      </c>
      <c r="I1105" s="9">
        <v>-52.856010592980056</v>
      </c>
      <c r="J1105" t="s">
        <v>67</v>
      </c>
      <c r="K1105" t="s">
        <v>68</v>
      </c>
    </row>
    <row r="1106" spans="1:11" hidden="1" x14ac:dyDescent="0.25">
      <c r="A1106" t="s">
        <v>81</v>
      </c>
      <c r="B1106" t="s">
        <v>82</v>
      </c>
      <c r="C1106" t="s">
        <v>29</v>
      </c>
      <c r="D1106" t="s">
        <v>30</v>
      </c>
      <c r="E1106">
        <v>2019</v>
      </c>
      <c r="F1106" t="s">
        <v>88</v>
      </c>
      <c r="G1106" t="s">
        <v>89</v>
      </c>
      <c r="H1106">
        <v>4089.19817292978</v>
      </c>
      <c r="I1106" s="9"/>
      <c r="J1106" t="s">
        <v>67</v>
      </c>
      <c r="K1106" t="s">
        <v>68</v>
      </c>
    </row>
    <row r="1107" spans="1:11" hidden="1" x14ac:dyDescent="0.25">
      <c r="A1107" t="s">
        <v>81</v>
      </c>
      <c r="B1107" t="s">
        <v>82</v>
      </c>
      <c r="C1107" t="s">
        <v>29</v>
      </c>
      <c r="D1107" t="s">
        <v>30</v>
      </c>
      <c r="E1107">
        <v>2020</v>
      </c>
      <c r="F1107" t="s">
        <v>88</v>
      </c>
      <c r="G1107" t="s">
        <v>89</v>
      </c>
      <c r="H1107">
        <v>4118.5245796679601</v>
      </c>
      <c r="I1107" s="9">
        <v>29.32640673818014</v>
      </c>
      <c r="J1107" t="s">
        <v>67</v>
      </c>
      <c r="K1107" t="s">
        <v>68</v>
      </c>
    </row>
    <row r="1108" spans="1:11" hidden="1" x14ac:dyDescent="0.25">
      <c r="A1108" t="s">
        <v>81</v>
      </c>
      <c r="B1108" t="s">
        <v>82</v>
      </c>
      <c r="C1108" t="s">
        <v>29</v>
      </c>
      <c r="D1108" t="s">
        <v>30</v>
      </c>
      <c r="E1108">
        <v>2021</v>
      </c>
      <c r="F1108" t="s">
        <v>88</v>
      </c>
      <c r="G1108" t="s">
        <v>89</v>
      </c>
      <c r="H1108">
        <v>4157.9840712354298</v>
      </c>
      <c r="I1108" s="9">
        <v>39.45949156746974</v>
      </c>
      <c r="J1108" t="s">
        <v>67</v>
      </c>
      <c r="K1108" t="s">
        <v>68</v>
      </c>
    </row>
    <row r="1109" spans="1:11" hidden="1" x14ac:dyDescent="0.25">
      <c r="A1109" t="s">
        <v>81</v>
      </c>
      <c r="B1109" t="s">
        <v>82</v>
      </c>
      <c r="C1109" t="s">
        <v>29</v>
      </c>
      <c r="D1109" t="s">
        <v>30</v>
      </c>
      <c r="E1109">
        <v>2022</v>
      </c>
      <c r="F1109" t="s">
        <v>88</v>
      </c>
      <c r="G1109" t="s">
        <v>89</v>
      </c>
      <c r="H1109">
        <v>4219.8276024654897</v>
      </c>
      <c r="I1109" s="9">
        <v>61.843531230059853</v>
      </c>
      <c r="J1109" t="s">
        <v>67</v>
      </c>
      <c r="K1109" t="s">
        <v>68</v>
      </c>
    </row>
    <row r="1110" spans="1:11" hidden="1" x14ac:dyDescent="0.25">
      <c r="A1110" t="s">
        <v>81</v>
      </c>
      <c r="B1110" t="s">
        <v>82</v>
      </c>
      <c r="C1110" t="s">
        <v>29</v>
      </c>
      <c r="D1110" t="s">
        <v>30</v>
      </c>
      <c r="E1110">
        <v>2023</v>
      </c>
      <c r="F1110" t="s">
        <v>88</v>
      </c>
      <c r="G1110" t="s">
        <v>89</v>
      </c>
      <c r="H1110">
        <v>4241.28988006909</v>
      </c>
      <c r="I1110" s="9">
        <v>21.462277603600342</v>
      </c>
      <c r="J1110" t="s">
        <v>67</v>
      </c>
      <c r="K1110" t="s">
        <v>68</v>
      </c>
    </row>
    <row r="1111" spans="1:11" hidden="1" x14ac:dyDescent="0.25">
      <c r="A1111" t="s">
        <v>81</v>
      </c>
      <c r="B1111" t="s">
        <v>82</v>
      </c>
      <c r="C1111" t="s">
        <v>29</v>
      </c>
      <c r="D1111" t="s">
        <v>30</v>
      </c>
      <c r="E1111">
        <v>2024</v>
      </c>
      <c r="F1111" t="s">
        <v>88</v>
      </c>
      <c r="G1111" t="s">
        <v>89</v>
      </c>
      <c r="H1111">
        <v>4254.9267822531001</v>
      </c>
      <c r="I1111" s="9">
        <v>13.636902184010069</v>
      </c>
      <c r="J1111" t="s">
        <v>67</v>
      </c>
      <c r="K1111" t="s">
        <v>68</v>
      </c>
    </row>
    <row r="1112" spans="1:11" hidden="1" x14ac:dyDescent="0.25">
      <c r="A1112" t="s">
        <v>81</v>
      </c>
      <c r="B1112" t="s">
        <v>82</v>
      </c>
      <c r="C1112" t="s">
        <v>49</v>
      </c>
      <c r="D1112" t="s">
        <v>50</v>
      </c>
      <c r="E1112">
        <v>2019</v>
      </c>
      <c r="F1112" t="s">
        <v>88</v>
      </c>
      <c r="G1112" t="s">
        <v>89</v>
      </c>
      <c r="H1112">
        <v>1170.3964697625299</v>
      </c>
      <c r="I1112" s="9"/>
      <c r="J1112" t="s">
        <v>67</v>
      </c>
      <c r="K1112" t="s">
        <v>68</v>
      </c>
    </row>
    <row r="1113" spans="1:11" hidden="1" x14ac:dyDescent="0.25">
      <c r="A1113" t="s">
        <v>81</v>
      </c>
      <c r="B1113" t="s">
        <v>82</v>
      </c>
      <c r="C1113" t="s">
        <v>49</v>
      </c>
      <c r="D1113" t="s">
        <v>50</v>
      </c>
      <c r="E1113">
        <v>2020</v>
      </c>
      <c r="F1113" t="s">
        <v>88</v>
      </c>
      <c r="G1113" t="s">
        <v>89</v>
      </c>
      <c r="H1113">
        <v>1167.30757669019</v>
      </c>
      <c r="I1113" s="9">
        <v>-3.0888930723399426</v>
      </c>
      <c r="J1113" t="s">
        <v>67</v>
      </c>
      <c r="K1113" t="s">
        <v>68</v>
      </c>
    </row>
    <row r="1114" spans="1:11" hidden="1" x14ac:dyDescent="0.25">
      <c r="A1114" t="s">
        <v>81</v>
      </c>
      <c r="B1114" t="s">
        <v>82</v>
      </c>
      <c r="C1114" t="s">
        <v>49</v>
      </c>
      <c r="D1114" t="s">
        <v>50</v>
      </c>
      <c r="E1114">
        <v>2021</v>
      </c>
      <c r="F1114" t="s">
        <v>88</v>
      </c>
      <c r="G1114" t="s">
        <v>89</v>
      </c>
      <c r="H1114">
        <v>1174.91173175636</v>
      </c>
      <c r="I1114" s="9">
        <v>7.6041550661700512</v>
      </c>
      <c r="J1114" t="s">
        <v>67</v>
      </c>
      <c r="K1114" t="s">
        <v>68</v>
      </c>
    </row>
    <row r="1115" spans="1:11" hidden="1" x14ac:dyDescent="0.25">
      <c r="A1115" t="s">
        <v>81</v>
      </c>
      <c r="B1115" t="s">
        <v>82</v>
      </c>
      <c r="C1115" t="s">
        <v>49</v>
      </c>
      <c r="D1115" t="s">
        <v>50</v>
      </c>
      <c r="E1115">
        <v>2022</v>
      </c>
      <c r="F1115" t="s">
        <v>88</v>
      </c>
      <c r="G1115" t="s">
        <v>89</v>
      </c>
      <c r="H1115">
        <v>1203.23235254613</v>
      </c>
      <c r="I1115" s="9">
        <v>28.320620789769919</v>
      </c>
      <c r="J1115" t="s">
        <v>67</v>
      </c>
      <c r="K1115" t="s">
        <v>68</v>
      </c>
    </row>
    <row r="1116" spans="1:11" hidden="1" x14ac:dyDescent="0.25">
      <c r="A1116" t="s">
        <v>81</v>
      </c>
      <c r="B1116" t="s">
        <v>82</v>
      </c>
      <c r="C1116" t="s">
        <v>49</v>
      </c>
      <c r="D1116" t="s">
        <v>50</v>
      </c>
      <c r="E1116">
        <v>2023</v>
      </c>
      <c r="F1116" t="s">
        <v>88</v>
      </c>
      <c r="G1116" t="s">
        <v>89</v>
      </c>
      <c r="H1116">
        <v>1156.2353659468799</v>
      </c>
      <c r="I1116" s="9">
        <v>-46.996986599250022</v>
      </c>
      <c r="J1116" t="s">
        <v>67</v>
      </c>
      <c r="K1116" t="s">
        <v>68</v>
      </c>
    </row>
    <row r="1117" spans="1:11" hidden="1" x14ac:dyDescent="0.25">
      <c r="A1117" t="s">
        <v>81</v>
      </c>
      <c r="B1117" t="s">
        <v>82</v>
      </c>
      <c r="C1117" t="s">
        <v>49</v>
      </c>
      <c r="D1117" t="s">
        <v>50</v>
      </c>
      <c r="E1117">
        <v>2024</v>
      </c>
      <c r="F1117" t="s">
        <v>88</v>
      </c>
      <c r="G1117" t="s">
        <v>89</v>
      </c>
      <c r="H1117">
        <v>1249.8255149184399</v>
      </c>
      <c r="I1117" s="9">
        <v>93.590148971559984</v>
      </c>
      <c r="J1117" t="s">
        <v>67</v>
      </c>
      <c r="K1117" t="s">
        <v>68</v>
      </c>
    </row>
    <row r="1118" spans="1:11" hidden="1" x14ac:dyDescent="0.25">
      <c r="A1118" t="s">
        <v>81</v>
      </c>
      <c r="B1118" t="s">
        <v>82</v>
      </c>
      <c r="C1118" t="s">
        <v>33</v>
      </c>
      <c r="D1118" t="s">
        <v>34</v>
      </c>
      <c r="E1118">
        <v>2019</v>
      </c>
      <c r="F1118" t="s">
        <v>88</v>
      </c>
      <c r="G1118" t="s">
        <v>89</v>
      </c>
      <c r="H1118">
        <v>1374.35464783968</v>
      </c>
      <c r="I1118" s="9"/>
      <c r="J1118" t="s">
        <v>67</v>
      </c>
      <c r="K1118" t="s">
        <v>68</v>
      </c>
    </row>
    <row r="1119" spans="1:11" hidden="1" x14ac:dyDescent="0.25">
      <c r="A1119" t="s">
        <v>81</v>
      </c>
      <c r="B1119" t="s">
        <v>82</v>
      </c>
      <c r="C1119" t="s">
        <v>33</v>
      </c>
      <c r="D1119" t="s">
        <v>34</v>
      </c>
      <c r="E1119">
        <v>2020</v>
      </c>
      <c r="F1119" t="s">
        <v>88</v>
      </c>
      <c r="G1119" t="s">
        <v>89</v>
      </c>
      <c r="H1119">
        <v>1681.1994210069599</v>
      </c>
      <c r="I1119" s="9">
        <v>306.84477316727998</v>
      </c>
      <c r="J1119" t="s">
        <v>67</v>
      </c>
      <c r="K1119" t="s">
        <v>68</v>
      </c>
    </row>
    <row r="1120" spans="1:11" hidden="1" x14ac:dyDescent="0.25">
      <c r="A1120" t="s">
        <v>81</v>
      </c>
      <c r="B1120" t="s">
        <v>82</v>
      </c>
      <c r="C1120" t="s">
        <v>33</v>
      </c>
      <c r="D1120" t="s">
        <v>34</v>
      </c>
      <c r="E1120">
        <v>2021</v>
      </c>
      <c r="F1120" t="s">
        <v>88</v>
      </c>
      <c r="G1120" t="s">
        <v>89</v>
      </c>
      <c r="H1120">
        <v>1579.16478171739</v>
      </c>
      <c r="I1120" s="9">
        <v>-102.0346392895699</v>
      </c>
      <c r="J1120" t="s">
        <v>67</v>
      </c>
      <c r="K1120" t="s">
        <v>68</v>
      </c>
    </row>
    <row r="1121" spans="1:11" hidden="1" x14ac:dyDescent="0.25">
      <c r="A1121" t="s">
        <v>81</v>
      </c>
      <c r="B1121" t="s">
        <v>82</v>
      </c>
      <c r="C1121" t="s">
        <v>33</v>
      </c>
      <c r="D1121" t="s">
        <v>34</v>
      </c>
      <c r="E1121">
        <v>2022</v>
      </c>
      <c r="F1121" t="s">
        <v>88</v>
      </c>
      <c r="G1121" t="s">
        <v>89</v>
      </c>
      <c r="H1121">
        <v>1620.07767274096</v>
      </c>
      <c r="I1121" s="9">
        <v>40.912891023569955</v>
      </c>
      <c r="J1121" t="s">
        <v>67</v>
      </c>
      <c r="K1121" t="s">
        <v>68</v>
      </c>
    </row>
    <row r="1122" spans="1:11" hidden="1" x14ac:dyDescent="0.25">
      <c r="A1122" t="s">
        <v>81</v>
      </c>
      <c r="B1122" t="s">
        <v>82</v>
      </c>
      <c r="C1122" t="s">
        <v>33</v>
      </c>
      <c r="D1122" t="s">
        <v>34</v>
      </c>
      <c r="E1122">
        <v>2023</v>
      </c>
      <c r="F1122" t="s">
        <v>88</v>
      </c>
      <c r="G1122" t="s">
        <v>89</v>
      </c>
      <c r="H1122">
        <v>2010.24395131403</v>
      </c>
      <c r="I1122" s="9">
        <v>390.16627857307003</v>
      </c>
      <c r="J1122" t="s">
        <v>67</v>
      </c>
      <c r="K1122" t="s">
        <v>68</v>
      </c>
    </row>
    <row r="1123" spans="1:11" hidden="1" x14ac:dyDescent="0.25">
      <c r="A1123" t="s">
        <v>81</v>
      </c>
      <c r="B1123" t="s">
        <v>82</v>
      </c>
      <c r="C1123" t="s">
        <v>33</v>
      </c>
      <c r="D1123" t="s">
        <v>34</v>
      </c>
      <c r="E1123">
        <v>2024</v>
      </c>
      <c r="F1123" t="s">
        <v>88</v>
      </c>
      <c r="G1123" t="s">
        <v>89</v>
      </c>
      <c r="H1123">
        <v>2347.18337233281</v>
      </c>
      <c r="I1123" s="9">
        <v>336.93942101877997</v>
      </c>
      <c r="J1123" t="s">
        <v>67</v>
      </c>
      <c r="K1123" t="s">
        <v>68</v>
      </c>
    </row>
    <row r="1124" spans="1:11" hidden="1" x14ac:dyDescent="0.25">
      <c r="A1124" t="s">
        <v>81</v>
      </c>
      <c r="B1124" t="s">
        <v>82</v>
      </c>
      <c r="C1124" t="s">
        <v>51</v>
      </c>
      <c r="D1124" t="s">
        <v>52</v>
      </c>
      <c r="E1124">
        <v>2019</v>
      </c>
      <c r="F1124" t="s">
        <v>88</v>
      </c>
      <c r="G1124" t="s">
        <v>89</v>
      </c>
      <c r="I1124" s="9"/>
      <c r="J1124" t="s">
        <v>67</v>
      </c>
      <c r="K1124" t="s">
        <v>68</v>
      </c>
    </row>
    <row r="1125" spans="1:11" hidden="1" x14ac:dyDescent="0.25">
      <c r="A1125" t="s">
        <v>81</v>
      </c>
      <c r="B1125" t="s">
        <v>82</v>
      </c>
      <c r="C1125" t="s">
        <v>51</v>
      </c>
      <c r="D1125" t="s">
        <v>52</v>
      </c>
      <c r="E1125">
        <v>2020</v>
      </c>
      <c r="F1125" t="s">
        <v>88</v>
      </c>
      <c r="G1125" t="s">
        <v>89</v>
      </c>
      <c r="I1125" s="9"/>
      <c r="J1125" t="s">
        <v>67</v>
      </c>
      <c r="K1125" t="s">
        <v>68</v>
      </c>
    </row>
    <row r="1126" spans="1:11" hidden="1" x14ac:dyDescent="0.25">
      <c r="A1126" t="s">
        <v>81</v>
      </c>
      <c r="B1126" t="s">
        <v>82</v>
      </c>
      <c r="C1126" t="s">
        <v>51</v>
      </c>
      <c r="D1126" t="s">
        <v>52</v>
      </c>
      <c r="E1126">
        <v>2021</v>
      </c>
      <c r="F1126" t="s">
        <v>88</v>
      </c>
      <c r="G1126" t="s">
        <v>89</v>
      </c>
      <c r="I1126" s="9"/>
      <c r="J1126" t="s">
        <v>67</v>
      </c>
      <c r="K1126" t="s">
        <v>68</v>
      </c>
    </row>
    <row r="1127" spans="1:11" hidden="1" x14ac:dyDescent="0.25">
      <c r="A1127" t="s">
        <v>81</v>
      </c>
      <c r="B1127" t="s">
        <v>82</v>
      </c>
      <c r="C1127" t="s">
        <v>51</v>
      </c>
      <c r="D1127" t="s">
        <v>52</v>
      </c>
      <c r="E1127">
        <v>2022</v>
      </c>
      <c r="F1127" t="s">
        <v>88</v>
      </c>
      <c r="G1127" t="s">
        <v>89</v>
      </c>
      <c r="I1127" s="9"/>
      <c r="J1127" t="s">
        <v>67</v>
      </c>
      <c r="K1127" t="s">
        <v>68</v>
      </c>
    </row>
    <row r="1128" spans="1:11" hidden="1" x14ac:dyDescent="0.25">
      <c r="A1128" t="s">
        <v>81</v>
      </c>
      <c r="B1128" t="s">
        <v>82</v>
      </c>
      <c r="C1128" t="s">
        <v>51</v>
      </c>
      <c r="D1128" t="s">
        <v>52</v>
      </c>
      <c r="E1128">
        <v>2023</v>
      </c>
      <c r="F1128" t="s">
        <v>88</v>
      </c>
      <c r="G1128" t="s">
        <v>89</v>
      </c>
      <c r="I1128" s="9"/>
      <c r="J1128" t="s">
        <v>67</v>
      </c>
      <c r="K1128" t="s">
        <v>68</v>
      </c>
    </row>
    <row r="1129" spans="1:11" hidden="1" x14ac:dyDescent="0.25">
      <c r="A1129" t="s">
        <v>81</v>
      </c>
      <c r="B1129" t="s">
        <v>82</v>
      </c>
      <c r="C1129" t="s">
        <v>51</v>
      </c>
      <c r="D1129" t="s">
        <v>52</v>
      </c>
      <c r="E1129">
        <v>2024</v>
      </c>
      <c r="F1129" t="s">
        <v>88</v>
      </c>
      <c r="G1129" t="s">
        <v>89</v>
      </c>
      <c r="I1129" s="9"/>
      <c r="J1129" t="s">
        <v>67</v>
      </c>
      <c r="K1129" t="s">
        <v>68</v>
      </c>
    </row>
    <row r="1130" spans="1:11" hidden="1" x14ac:dyDescent="0.25">
      <c r="A1130" t="s">
        <v>81</v>
      </c>
      <c r="B1130" t="s">
        <v>82</v>
      </c>
      <c r="C1130" t="s">
        <v>53</v>
      </c>
      <c r="D1130" t="s">
        <v>54</v>
      </c>
      <c r="E1130">
        <v>2019</v>
      </c>
      <c r="F1130" t="s">
        <v>88</v>
      </c>
      <c r="G1130" t="s">
        <v>89</v>
      </c>
      <c r="I1130" s="9"/>
      <c r="J1130" t="s">
        <v>67</v>
      </c>
      <c r="K1130" t="s">
        <v>68</v>
      </c>
    </row>
    <row r="1131" spans="1:11" hidden="1" x14ac:dyDescent="0.25">
      <c r="A1131" t="s">
        <v>81</v>
      </c>
      <c r="B1131" t="s">
        <v>82</v>
      </c>
      <c r="C1131" t="s">
        <v>53</v>
      </c>
      <c r="D1131" t="s">
        <v>54</v>
      </c>
      <c r="E1131">
        <v>2020</v>
      </c>
      <c r="F1131" t="s">
        <v>88</v>
      </c>
      <c r="G1131" t="s">
        <v>89</v>
      </c>
      <c r="I1131" s="9"/>
      <c r="J1131" t="s">
        <v>67</v>
      </c>
      <c r="K1131" t="s">
        <v>68</v>
      </c>
    </row>
    <row r="1132" spans="1:11" hidden="1" x14ac:dyDescent="0.25">
      <c r="A1132" t="s">
        <v>81</v>
      </c>
      <c r="B1132" t="s">
        <v>82</v>
      </c>
      <c r="C1132" t="s">
        <v>53</v>
      </c>
      <c r="D1132" t="s">
        <v>54</v>
      </c>
      <c r="E1132">
        <v>2021</v>
      </c>
      <c r="F1132" t="s">
        <v>88</v>
      </c>
      <c r="G1132" t="s">
        <v>89</v>
      </c>
      <c r="I1132" s="9"/>
      <c r="J1132" t="s">
        <v>67</v>
      </c>
      <c r="K1132" t="s">
        <v>68</v>
      </c>
    </row>
    <row r="1133" spans="1:11" hidden="1" x14ac:dyDescent="0.25">
      <c r="A1133" t="s">
        <v>81</v>
      </c>
      <c r="B1133" t="s">
        <v>82</v>
      </c>
      <c r="C1133" t="s">
        <v>53</v>
      </c>
      <c r="D1133" t="s">
        <v>54</v>
      </c>
      <c r="E1133">
        <v>2022</v>
      </c>
      <c r="F1133" t="s">
        <v>88</v>
      </c>
      <c r="G1133" t="s">
        <v>89</v>
      </c>
      <c r="I1133" s="9"/>
      <c r="J1133" t="s">
        <v>67</v>
      </c>
      <c r="K1133" t="s">
        <v>68</v>
      </c>
    </row>
    <row r="1134" spans="1:11" hidden="1" x14ac:dyDescent="0.25">
      <c r="A1134" t="s">
        <v>81</v>
      </c>
      <c r="B1134" t="s">
        <v>82</v>
      </c>
      <c r="C1134" t="s">
        <v>53</v>
      </c>
      <c r="D1134" t="s">
        <v>54</v>
      </c>
      <c r="E1134">
        <v>2023</v>
      </c>
      <c r="F1134" t="s">
        <v>88</v>
      </c>
      <c r="G1134" t="s">
        <v>89</v>
      </c>
      <c r="I1134" s="9"/>
      <c r="J1134" t="s">
        <v>67</v>
      </c>
      <c r="K1134" t="s">
        <v>68</v>
      </c>
    </row>
    <row r="1135" spans="1:11" hidden="1" x14ac:dyDescent="0.25">
      <c r="A1135" t="s">
        <v>81</v>
      </c>
      <c r="B1135" t="s">
        <v>82</v>
      </c>
      <c r="C1135" t="s">
        <v>53</v>
      </c>
      <c r="D1135" t="s">
        <v>54</v>
      </c>
      <c r="E1135">
        <v>2024</v>
      </c>
      <c r="F1135" t="s">
        <v>88</v>
      </c>
      <c r="G1135" t="s">
        <v>89</v>
      </c>
      <c r="I1135" s="9"/>
      <c r="J1135" t="s">
        <v>67</v>
      </c>
      <c r="K1135" t="s">
        <v>68</v>
      </c>
    </row>
    <row r="1136" spans="1:11" hidden="1" x14ac:dyDescent="0.25">
      <c r="A1136" t="s">
        <v>81</v>
      </c>
      <c r="B1136" t="s">
        <v>82</v>
      </c>
      <c r="C1136" t="s">
        <v>31</v>
      </c>
      <c r="D1136" t="s">
        <v>32</v>
      </c>
      <c r="E1136">
        <v>2019</v>
      </c>
      <c r="F1136" t="s">
        <v>88</v>
      </c>
      <c r="G1136" t="s">
        <v>89</v>
      </c>
      <c r="H1136">
        <v>718.95834805523896</v>
      </c>
      <c r="I1136" s="9"/>
      <c r="J1136" t="s">
        <v>67</v>
      </c>
      <c r="K1136" t="s">
        <v>68</v>
      </c>
    </row>
    <row r="1137" spans="1:11" hidden="1" x14ac:dyDescent="0.25">
      <c r="A1137" t="s">
        <v>81</v>
      </c>
      <c r="B1137" t="s">
        <v>82</v>
      </c>
      <c r="C1137" t="s">
        <v>31</v>
      </c>
      <c r="D1137" t="s">
        <v>32</v>
      </c>
      <c r="E1137">
        <v>2020</v>
      </c>
      <c r="F1137" t="s">
        <v>88</v>
      </c>
      <c r="G1137" t="s">
        <v>89</v>
      </c>
      <c r="H1137">
        <v>711.02984832709501</v>
      </c>
      <c r="I1137" s="9">
        <v>-7.9284997281439473</v>
      </c>
      <c r="J1137" t="s">
        <v>67</v>
      </c>
      <c r="K1137" t="s">
        <v>68</v>
      </c>
    </row>
    <row r="1138" spans="1:11" hidden="1" x14ac:dyDescent="0.25">
      <c r="A1138" t="s">
        <v>81</v>
      </c>
      <c r="B1138" t="s">
        <v>82</v>
      </c>
      <c r="C1138" t="s">
        <v>31</v>
      </c>
      <c r="D1138" t="s">
        <v>32</v>
      </c>
      <c r="E1138">
        <v>2021</v>
      </c>
      <c r="F1138" t="s">
        <v>88</v>
      </c>
      <c r="G1138" t="s">
        <v>89</v>
      </c>
      <c r="H1138">
        <v>658.04890590910202</v>
      </c>
      <c r="I1138" s="9">
        <v>-52.980942417992992</v>
      </c>
      <c r="J1138" t="s">
        <v>67</v>
      </c>
      <c r="K1138" t="s">
        <v>68</v>
      </c>
    </row>
    <row r="1139" spans="1:11" hidden="1" x14ac:dyDescent="0.25">
      <c r="A1139" t="s">
        <v>81</v>
      </c>
      <c r="B1139" t="s">
        <v>82</v>
      </c>
      <c r="C1139" t="s">
        <v>31</v>
      </c>
      <c r="D1139" t="s">
        <v>32</v>
      </c>
      <c r="E1139">
        <v>2022</v>
      </c>
      <c r="F1139" t="s">
        <v>88</v>
      </c>
      <c r="G1139" t="s">
        <v>89</v>
      </c>
      <c r="H1139">
        <v>653.02694109702202</v>
      </c>
      <c r="I1139" s="9">
        <v>-5.0219648120800002</v>
      </c>
      <c r="J1139" t="s">
        <v>67</v>
      </c>
      <c r="K1139" t="s">
        <v>68</v>
      </c>
    </row>
    <row r="1140" spans="1:11" hidden="1" x14ac:dyDescent="0.25">
      <c r="A1140" t="s">
        <v>81</v>
      </c>
      <c r="B1140" t="s">
        <v>82</v>
      </c>
      <c r="C1140" t="s">
        <v>31</v>
      </c>
      <c r="D1140" t="s">
        <v>32</v>
      </c>
      <c r="E1140">
        <v>2023</v>
      </c>
      <c r="F1140" t="s">
        <v>88</v>
      </c>
      <c r="G1140" t="s">
        <v>89</v>
      </c>
      <c r="H1140">
        <v>652.85499438306204</v>
      </c>
      <c r="I1140" s="9">
        <v>-0.17194671395998284</v>
      </c>
      <c r="J1140" t="s">
        <v>67</v>
      </c>
      <c r="K1140" t="s">
        <v>68</v>
      </c>
    </row>
    <row r="1141" spans="1:11" hidden="1" x14ac:dyDescent="0.25">
      <c r="A1141" t="s">
        <v>81</v>
      </c>
      <c r="B1141" t="s">
        <v>82</v>
      </c>
      <c r="C1141" t="s">
        <v>31</v>
      </c>
      <c r="D1141" t="s">
        <v>32</v>
      </c>
      <c r="E1141">
        <v>2024</v>
      </c>
      <c r="F1141" t="s">
        <v>88</v>
      </c>
      <c r="G1141" t="s">
        <v>89</v>
      </c>
      <c r="I1141" s="9"/>
      <c r="J1141" t="s">
        <v>67</v>
      </c>
      <c r="K1141" t="s">
        <v>68</v>
      </c>
    </row>
    <row r="1142" spans="1:11" hidden="1" x14ac:dyDescent="0.25">
      <c r="A1142" t="s">
        <v>81</v>
      </c>
      <c r="B1142" t="s">
        <v>82</v>
      </c>
      <c r="C1142" t="s">
        <v>35</v>
      </c>
      <c r="D1142" t="s">
        <v>36</v>
      </c>
      <c r="E1142">
        <v>2019</v>
      </c>
      <c r="F1142" t="s">
        <v>88</v>
      </c>
      <c r="G1142" t="s">
        <v>89</v>
      </c>
      <c r="H1142">
        <v>2540.1758992731702</v>
      </c>
      <c r="I1142" s="9"/>
      <c r="J1142" t="s">
        <v>67</v>
      </c>
      <c r="K1142" t="s">
        <v>68</v>
      </c>
    </row>
    <row r="1143" spans="1:11" hidden="1" x14ac:dyDescent="0.25">
      <c r="A1143" t="s">
        <v>81</v>
      </c>
      <c r="B1143" t="s">
        <v>82</v>
      </c>
      <c r="C1143" t="s">
        <v>35</v>
      </c>
      <c r="D1143" t="s">
        <v>36</v>
      </c>
      <c r="E1143">
        <v>2020</v>
      </c>
      <c r="F1143" t="s">
        <v>88</v>
      </c>
      <c r="G1143" t="s">
        <v>89</v>
      </c>
      <c r="H1143">
        <v>2744.0983903753099</v>
      </c>
      <c r="I1143" s="9">
        <v>203.9224911021397</v>
      </c>
      <c r="J1143" t="s">
        <v>67</v>
      </c>
      <c r="K1143" t="s">
        <v>68</v>
      </c>
    </row>
    <row r="1144" spans="1:11" hidden="1" x14ac:dyDescent="0.25">
      <c r="A1144" t="s">
        <v>81</v>
      </c>
      <c r="B1144" t="s">
        <v>82</v>
      </c>
      <c r="C1144" t="s">
        <v>35</v>
      </c>
      <c r="D1144" t="s">
        <v>36</v>
      </c>
      <c r="E1144">
        <v>2021</v>
      </c>
      <c r="F1144" t="s">
        <v>88</v>
      </c>
      <c r="G1144" t="s">
        <v>89</v>
      </c>
      <c r="H1144">
        <v>3054.9914313613099</v>
      </c>
      <c r="I1144" s="9">
        <v>310.89304098599996</v>
      </c>
      <c r="J1144" t="s">
        <v>67</v>
      </c>
      <c r="K1144" t="s">
        <v>68</v>
      </c>
    </row>
    <row r="1145" spans="1:11" hidden="1" x14ac:dyDescent="0.25">
      <c r="A1145" t="s">
        <v>81</v>
      </c>
      <c r="B1145" t="s">
        <v>82</v>
      </c>
      <c r="C1145" t="s">
        <v>35</v>
      </c>
      <c r="D1145" t="s">
        <v>36</v>
      </c>
      <c r="E1145">
        <v>2022</v>
      </c>
      <c r="F1145" t="s">
        <v>88</v>
      </c>
      <c r="G1145" t="s">
        <v>89</v>
      </c>
      <c r="H1145">
        <v>3655.2566196830999</v>
      </c>
      <c r="I1145" s="9">
        <v>600.26518832178999</v>
      </c>
      <c r="J1145" t="s">
        <v>67</v>
      </c>
      <c r="K1145" t="s">
        <v>68</v>
      </c>
    </row>
    <row r="1146" spans="1:11" hidden="1" x14ac:dyDescent="0.25">
      <c r="A1146" t="s">
        <v>81</v>
      </c>
      <c r="B1146" t="s">
        <v>82</v>
      </c>
      <c r="C1146" t="s">
        <v>35</v>
      </c>
      <c r="D1146" t="s">
        <v>36</v>
      </c>
      <c r="E1146">
        <v>2023</v>
      </c>
      <c r="F1146" t="s">
        <v>88</v>
      </c>
      <c r="G1146" t="s">
        <v>89</v>
      </c>
      <c r="H1146">
        <v>4165.8732457517599</v>
      </c>
      <c r="I1146" s="9">
        <v>510.61662606866003</v>
      </c>
      <c r="J1146" t="s">
        <v>67</v>
      </c>
      <c r="K1146" t="s">
        <v>68</v>
      </c>
    </row>
    <row r="1147" spans="1:11" hidden="1" x14ac:dyDescent="0.25">
      <c r="A1147" t="s">
        <v>81</v>
      </c>
      <c r="B1147" t="s">
        <v>82</v>
      </c>
      <c r="C1147" t="s">
        <v>35</v>
      </c>
      <c r="D1147" t="s">
        <v>36</v>
      </c>
      <c r="E1147">
        <v>2024</v>
      </c>
      <c r="F1147" t="s">
        <v>88</v>
      </c>
      <c r="G1147" t="s">
        <v>89</v>
      </c>
      <c r="H1147">
        <v>4753.9578237610904</v>
      </c>
      <c r="I1147" s="9">
        <v>588.08457800933047</v>
      </c>
      <c r="J1147" t="s">
        <v>67</v>
      </c>
      <c r="K1147" t="s">
        <v>68</v>
      </c>
    </row>
    <row r="1148" spans="1:11" hidden="1" x14ac:dyDescent="0.25">
      <c r="A1148" t="s">
        <v>81</v>
      </c>
      <c r="B1148" t="s">
        <v>82</v>
      </c>
      <c r="C1148" t="s">
        <v>7</v>
      </c>
      <c r="D1148" t="s">
        <v>8</v>
      </c>
      <c r="E1148">
        <v>2019</v>
      </c>
      <c r="F1148" t="s">
        <v>88</v>
      </c>
      <c r="G1148" t="s">
        <v>89</v>
      </c>
      <c r="H1148">
        <v>1412.9547787337201</v>
      </c>
      <c r="I1148" s="9"/>
      <c r="J1148" t="s">
        <v>67</v>
      </c>
      <c r="K1148" t="s">
        <v>68</v>
      </c>
    </row>
    <row r="1149" spans="1:11" hidden="1" x14ac:dyDescent="0.25">
      <c r="A1149" t="s">
        <v>81</v>
      </c>
      <c r="B1149" t="s">
        <v>82</v>
      </c>
      <c r="C1149" t="s">
        <v>7</v>
      </c>
      <c r="D1149" t="s">
        <v>8</v>
      </c>
      <c r="E1149">
        <v>2020</v>
      </c>
      <c r="F1149" t="s">
        <v>88</v>
      </c>
      <c r="G1149" t="s">
        <v>89</v>
      </c>
      <c r="H1149">
        <v>1460.5466815939701</v>
      </c>
      <c r="I1149" s="9">
        <v>47.591902860250002</v>
      </c>
      <c r="J1149" t="s">
        <v>67</v>
      </c>
      <c r="K1149" t="s">
        <v>68</v>
      </c>
    </row>
    <row r="1150" spans="1:11" hidden="1" x14ac:dyDescent="0.25">
      <c r="A1150" t="s">
        <v>81</v>
      </c>
      <c r="B1150" t="s">
        <v>82</v>
      </c>
      <c r="C1150" t="s">
        <v>7</v>
      </c>
      <c r="D1150" t="s">
        <v>8</v>
      </c>
      <c r="E1150">
        <v>2021</v>
      </c>
      <c r="F1150" t="s">
        <v>88</v>
      </c>
      <c r="G1150" t="s">
        <v>89</v>
      </c>
      <c r="H1150">
        <v>1710.06668397559</v>
      </c>
      <c r="I1150" s="9">
        <v>249.52000238161986</v>
      </c>
      <c r="J1150" t="s">
        <v>67</v>
      </c>
      <c r="K1150" t="s">
        <v>68</v>
      </c>
    </row>
    <row r="1151" spans="1:11" hidden="1" x14ac:dyDescent="0.25">
      <c r="A1151" t="s">
        <v>81</v>
      </c>
      <c r="B1151" t="s">
        <v>82</v>
      </c>
      <c r="C1151" t="s">
        <v>7</v>
      </c>
      <c r="D1151" t="s">
        <v>8</v>
      </c>
      <c r="E1151">
        <v>2022</v>
      </c>
      <c r="F1151" t="s">
        <v>88</v>
      </c>
      <c r="G1151" t="s">
        <v>89</v>
      </c>
      <c r="H1151">
        <v>1755.4982324355501</v>
      </c>
      <c r="I1151" s="9">
        <v>45.43154845996014</v>
      </c>
      <c r="J1151" t="s">
        <v>67</v>
      </c>
      <c r="K1151" t="s">
        <v>68</v>
      </c>
    </row>
    <row r="1152" spans="1:11" hidden="1" x14ac:dyDescent="0.25">
      <c r="A1152" t="s">
        <v>81</v>
      </c>
      <c r="B1152" t="s">
        <v>82</v>
      </c>
      <c r="C1152" t="s">
        <v>7</v>
      </c>
      <c r="D1152" t="s">
        <v>8</v>
      </c>
      <c r="E1152">
        <v>2023</v>
      </c>
      <c r="F1152" t="s">
        <v>88</v>
      </c>
      <c r="G1152" t="s">
        <v>89</v>
      </c>
      <c r="H1152">
        <v>1867.0517718533999</v>
      </c>
      <c r="I1152" s="9">
        <v>111.55353941784983</v>
      </c>
      <c r="J1152" t="s">
        <v>67</v>
      </c>
      <c r="K1152" t="s">
        <v>68</v>
      </c>
    </row>
    <row r="1153" spans="1:11" hidden="1" x14ac:dyDescent="0.25">
      <c r="A1153" t="s">
        <v>81</v>
      </c>
      <c r="B1153" t="s">
        <v>82</v>
      </c>
      <c r="C1153" t="s">
        <v>7</v>
      </c>
      <c r="D1153" t="s">
        <v>8</v>
      </c>
      <c r="E1153">
        <v>2024</v>
      </c>
      <c r="F1153" t="s">
        <v>88</v>
      </c>
      <c r="G1153" t="s">
        <v>89</v>
      </c>
      <c r="H1153">
        <v>1866.9966823904001</v>
      </c>
      <c r="I1153" s="9">
        <v>-5.5089462999831085E-2</v>
      </c>
      <c r="J1153" t="s">
        <v>67</v>
      </c>
      <c r="K1153" t="s">
        <v>68</v>
      </c>
    </row>
    <row r="1154" spans="1:11" hidden="1" x14ac:dyDescent="0.25">
      <c r="A1154" t="s">
        <v>81</v>
      </c>
      <c r="B1154" t="s">
        <v>82</v>
      </c>
      <c r="C1154" t="s">
        <v>37</v>
      </c>
      <c r="D1154" t="s">
        <v>38</v>
      </c>
      <c r="E1154">
        <v>2019</v>
      </c>
      <c r="F1154" t="s">
        <v>88</v>
      </c>
      <c r="G1154" t="s">
        <v>89</v>
      </c>
      <c r="H1154">
        <v>961.25603913889199</v>
      </c>
      <c r="I1154" s="9"/>
      <c r="J1154" t="s">
        <v>67</v>
      </c>
      <c r="K1154" t="s">
        <v>68</v>
      </c>
    </row>
    <row r="1155" spans="1:11" hidden="1" x14ac:dyDescent="0.25">
      <c r="A1155" t="s">
        <v>81</v>
      </c>
      <c r="B1155" t="s">
        <v>82</v>
      </c>
      <c r="C1155" t="s">
        <v>37</v>
      </c>
      <c r="D1155" t="s">
        <v>38</v>
      </c>
      <c r="E1155">
        <v>2020</v>
      </c>
      <c r="F1155" t="s">
        <v>88</v>
      </c>
      <c r="G1155" t="s">
        <v>89</v>
      </c>
      <c r="H1155">
        <v>1092.33204855654</v>
      </c>
      <c r="I1155" s="9">
        <v>131.07600941764804</v>
      </c>
      <c r="J1155" t="s">
        <v>67</v>
      </c>
      <c r="K1155" t="s">
        <v>68</v>
      </c>
    </row>
    <row r="1156" spans="1:11" hidden="1" x14ac:dyDescent="0.25">
      <c r="A1156" t="s">
        <v>81</v>
      </c>
      <c r="B1156" t="s">
        <v>82</v>
      </c>
      <c r="C1156" t="s">
        <v>37</v>
      </c>
      <c r="D1156" t="s">
        <v>38</v>
      </c>
      <c r="E1156">
        <v>2021</v>
      </c>
      <c r="F1156" t="s">
        <v>88</v>
      </c>
      <c r="G1156" t="s">
        <v>89</v>
      </c>
      <c r="H1156">
        <v>1163.6529608697299</v>
      </c>
      <c r="I1156" s="9">
        <v>71.320912313189865</v>
      </c>
      <c r="J1156" t="s">
        <v>67</v>
      </c>
      <c r="K1156" t="s">
        <v>68</v>
      </c>
    </row>
    <row r="1157" spans="1:11" hidden="1" x14ac:dyDescent="0.25">
      <c r="A1157" t="s">
        <v>81</v>
      </c>
      <c r="B1157" t="s">
        <v>82</v>
      </c>
      <c r="C1157" t="s">
        <v>37</v>
      </c>
      <c r="D1157" t="s">
        <v>38</v>
      </c>
      <c r="E1157">
        <v>2022</v>
      </c>
      <c r="F1157" t="s">
        <v>88</v>
      </c>
      <c r="G1157" t="s">
        <v>89</v>
      </c>
      <c r="H1157">
        <v>1316.1222024280501</v>
      </c>
      <c r="I1157" s="9">
        <v>152.46924155832016</v>
      </c>
      <c r="J1157" t="s">
        <v>67</v>
      </c>
      <c r="K1157" t="s">
        <v>68</v>
      </c>
    </row>
    <row r="1158" spans="1:11" hidden="1" x14ac:dyDescent="0.25">
      <c r="A1158" t="s">
        <v>81</v>
      </c>
      <c r="B1158" t="s">
        <v>82</v>
      </c>
      <c r="C1158" t="s">
        <v>37</v>
      </c>
      <c r="D1158" t="s">
        <v>38</v>
      </c>
      <c r="E1158">
        <v>2023</v>
      </c>
      <c r="F1158" t="s">
        <v>88</v>
      </c>
      <c r="G1158" t="s">
        <v>89</v>
      </c>
      <c r="H1158">
        <v>1371.82104267197</v>
      </c>
      <c r="I1158" s="9">
        <v>55.698840243919904</v>
      </c>
      <c r="J1158" t="s">
        <v>67</v>
      </c>
      <c r="K1158" t="s">
        <v>68</v>
      </c>
    </row>
    <row r="1159" spans="1:11" hidden="1" x14ac:dyDescent="0.25">
      <c r="A1159" t="s">
        <v>81</v>
      </c>
      <c r="B1159" t="s">
        <v>82</v>
      </c>
      <c r="C1159" t="s">
        <v>37</v>
      </c>
      <c r="D1159" t="s">
        <v>38</v>
      </c>
      <c r="E1159">
        <v>2024</v>
      </c>
      <c r="F1159" t="s">
        <v>88</v>
      </c>
      <c r="G1159" t="s">
        <v>89</v>
      </c>
      <c r="I1159" s="9"/>
      <c r="J1159" t="s">
        <v>67</v>
      </c>
      <c r="K1159" t="s">
        <v>68</v>
      </c>
    </row>
    <row r="1160" spans="1:11" hidden="1" x14ac:dyDescent="0.25">
      <c r="A1160" t="s">
        <v>81</v>
      </c>
      <c r="B1160" t="s">
        <v>82</v>
      </c>
      <c r="C1160" t="s">
        <v>39</v>
      </c>
      <c r="D1160" t="s">
        <v>40</v>
      </c>
      <c r="E1160">
        <v>2019</v>
      </c>
      <c r="F1160" t="s">
        <v>88</v>
      </c>
      <c r="G1160" t="s">
        <v>89</v>
      </c>
      <c r="H1160">
        <v>2093.7515365223499</v>
      </c>
      <c r="I1160" s="9"/>
      <c r="J1160" t="s">
        <v>67</v>
      </c>
      <c r="K1160" t="s">
        <v>68</v>
      </c>
    </row>
    <row r="1161" spans="1:11" hidden="1" x14ac:dyDescent="0.25">
      <c r="A1161" t="s">
        <v>81</v>
      </c>
      <c r="B1161" t="s">
        <v>82</v>
      </c>
      <c r="C1161" t="s">
        <v>39</v>
      </c>
      <c r="D1161" t="s">
        <v>40</v>
      </c>
      <c r="E1161">
        <v>2020</v>
      </c>
      <c r="F1161" t="s">
        <v>88</v>
      </c>
      <c r="G1161" t="s">
        <v>89</v>
      </c>
      <c r="H1161">
        <v>2247.6324757051698</v>
      </c>
      <c r="I1161" s="9">
        <v>153.88093918281993</v>
      </c>
      <c r="J1161" t="s">
        <v>67</v>
      </c>
      <c r="K1161" t="s">
        <v>68</v>
      </c>
    </row>
    <row r="1162" spans="1:11" hidden="1" x14ac:dyDescent="0.25">
      <c r="A1162" t="s">
        <v>81</v>
      </c>
      <c r="B1162" t="s">
        <v>82</v>
      </c>
      <c r="C1162" t="s">
        <v>39</v>
      </c>
      <c r="D1162" t="s">
        <v>40</v>
      </c>
      <c r="E1162">
        <v>2021</v>
      </c>
      <c r="F1162" t="s">
        <v>88</v>
      </c>
      <c r="G1162" t="s">
        <v>89</v>
      </c>
      <c r="H1162">
        <v>2301.8164300245098</v>
      </c>
      <c r="I1162" s="9">
        <v>54.183954319340046</v>
      </c>
      <c r="J1162" t="s">
        <v>67</v>
      </c>
      <c r="K1162" t="s">
        <v>68</v>
      </c>
    </row>
    <row r="1163" spans="1:11" hidden="1" x14ac:dyDescent="0.25">
      <c r="A1163" t="s">
        <v>81</v>
      </c>
      <c r="B1163" t="s">
        <v>82</v>
      </c>
      <c r="C1163" t="s">
        <v>39</v>
      </c>
      <c r="D1163" t="s">
        <v>40</v>
      </c>
      <c r="E1163">
        <v>2022</v>
      </c>
      <c r="F1163" t="s">
        <v>88</v>
      </c>
      <c r="G1163" t="s">
        <v>89</v>
      </c>
      <c r="H1163">
        <v>2553.8792301651802</v>
      </c>
      <c r="I1163" s="9">
        <v>252.06280014067033</v>
      </c>
      <c r="J1163" t="s">
        <v>67</v>
      </c>
      <c r="K1163" t="s">
        <v>68</v>
      </c>
    </row>
    <row r="1164" spans="1:11" hidden="1" x14ac:dyDescent="0.25">
      <c r="A1164" t="s">
        <v>81</v>
      </c>
      <c r="B1164" t="s">
        <v>82</v>
      </c>
      <c r="C1164" t="s">
        <v>39</v>
      </c>
      <c r="D1164" t="s">
        <v>40</v>
      </c>
      <c r="E1164">
        <v>2023</v>
      </c>
      <c r="F1164" t="s">
        <v>88</v>
      </c>
      <c r="G1164" t="s">
        <v>89</v>
      </c>
      <c r="H1164">
        <v>2841.5762136928502</v>
      </c>
      <c r="I1164" s="9">
        <v>287.69698352767</v>
      </c>
      <c r="J1164" t="s">
        <v>67</v>
      </c>
      <c r="K1164" t="s">
        <v>68</v>
      </c>
    </row>
    <row r="1165" spans="1:11" hidden="1" x14ac:dyDescent="0.25">
      <c r="A1165" t="s">
        <v>81</v>
      </c>
      <c r="B1165" t="s">
        <v>82</v>
      </c>
      <c r="C1165" t="s">
        <v>39</v>
      </c>
      <c r="D1165" t="s">
        <v>40</v>
      </c>
      <c r="E1165">
        <v>2024</v>
      </c>
      <c r="F1165" t="s">
        <v>88</v>
      </c>
      <c r="G1165" t="s">
        <v>89</v>
      </c>
      <c r="H1165">
        <v>2894.5185352352801</v>
      </c>
      <c r="I1165" s="9">
        <v>52.942321542429909</v>
      </c>
      <c r="J1165" t="s">
        <v>67</v>
      </c>
      <c r="K1165" t="s">
        <v>68</v>
      </c>
    </row>
    <row r="1166" spans="1:11" hidden="1" x14ac:dyDescent="0.25">
      <c r="A1166" t="s">
        <v>81</v>
      </c>
      <c r="B1166" t="s">
        <v>82</v>
      </c>
      <c r="C1166" t="s">
        <v>55</v>
      </c>
      <c r="D1166" t="s">
        <v>56</v>
      </c>
      <c r="E1166">
        <v>2019</v>
      </c>
      <c r="F1166" t="s">
        <v>88</v>
      </c>
      <c r="G1166" t="s">
        <v>89</v>
      </c>
      <c r="H1166">
        <v>957.87126750937705</v>
      </c>
      <c r="I1166" s="9"/>
      <c r="J1166" t="s">
        <v>67</v>
      </c>
      <c r="K1166" t="s">
        <v>68</v>
      </c>
    </row>
    <row r="1167" spans="1:11" hidden="1" x14ac:dyDescent="0.25">
      <c r="A1167" t="s">
        <v>81</v>
      </c>
      <c r="B1167" t="s">
        <v>82</v>
      </c>
      <c r="C1167" t="s">
        <v>55</v>
      </c>
      <c r="D1167" t="s">
        <v>56</v>
      </c>
      <c r="E1167">
        <v>2020</v>
      </c>
      <c r="F1167" t="s">
        <v>88</v>
      </c>
      <c r="G1167" t="s">
        <v>89</v>
      </c>
      <c r="H1167">
        <v>943.90999443039902</v>
      </c>
      <c r="I1167" s="9">
        <v>-13.961273078978024</v>
      </c>
      <c r="J1167" t="s">
        <v>67</v>
      </c>
      <c r="K1167" t="s">
        <v>68</v>
      </c>
    </row>
    <row r="1168" spans="1:11" hidden="1" x14ac:dyDescent="0.25">
      <c r="A1168" t="s">
        <v>81</v>
      </c>
      <c r="B1168" t="s">
        <v>82</v>
      </c>
      <c r="C1168" t="s">
        <v>55</v>
      </c>
      <c r="D1168" t="s">
        <v>56</v>
      </c>
      <c r="E1168">
        <v>2021</v>
      </c>
      <c r="F1168" t="s">
        <v>88</v>
      </c>
      <c r="G1168" t="s">
        <v>89</v>
      </c>
      <c r="H1168">
        <v>1057.74594940663</v>
      </c>
      <c r="I1168" s="9">
        <v>113.83595497623094</v>
      </c>
      <c r="J1168" t="s">
        <v>67</v>
      </c>
      <c r="K1168" t="s">
        <v>68</v>
      </c>
    </row>
    <row r="1169" spans="1:11" hidden="1" x14ac:dyDescent="0.25">
      <c r="A1169" t="s">
        <v>81</v>
      </c>
      <c r="B1169" t="s">
        <v>82</v>
      </c>
      <c r="C1169" t="s">
        <v>55</v>
      </c>
      <c r="D1169" t="s">
        <v>56</v>
      </c>
      <c r="E1169">
        <v>2022</v>
      </c>
      <c r="F1169" t="s">
        <v>88</v>
      </c>
      <c r="G1169" t="s">
        <v>89</v>
      </c>
      <c r="H1169">
        <v>1075.9159549374101</v>
      </c>
      <c r="I1169" s="9">
        <v>18.170005530780145</v>
      </c>
      <c r="J1169" t="s">
        <v>67</v>
      </c>
      <c r="K1169" t="s">
        <v>68</v>
      </c>
    </row>
    <row r="1170" spans="1:11" hidden="1" x14ac:dyDescent="0.25">
      <c r="A1170" t="s">
        <v>81</v>
      </c>
      <c r="B1170" t="s">
        <v>82</v>
      </c>
      <c r="C1170" t="s">
        <v>55</v>
      </c>
      <c r="D1170" t="s">
        <v>56</v>
      </c>
      <c r="E1170">
        <v>2023</v>
      </c>
      <c r="F1170" t="s">
        <v>88</v>
      </c>
      <c r="G1170" t="s">
        <v>89</v>
      </c>
      <c r="H1170">
        <v>1062.2043323145599</v>
      </c>
      <c r="I1170" s="9">
        <v>-13.7116226228502</v>
      </c>
      <c r="J1170" t="s">
        <v>67</v>
      </c>
      <c r="K1170" t="s">
        <v>68</v>
      </c>
    </row>
    <row r="1171" spans="1:11" hidden="1" x14ac:dyDescent="0.25">
      <c r="A1171" t="s">
        <v>81</v>
      </c>
      <c r="B1171" t="s">
        <v>82</v>
      </c>
      <c r="C1171" t="s">
        <v>55</v>
      </c>
      <c r="D1171" t="s">
        <v>56</v>
      </c>
      <c r="E1171">
        <v>2024</v>
      </c>
      <c r="F1171" t="s">
        <v>88</v>
      </c>
      <c r="G1171" t="s">
        <v>89</v>
      </c>
      <c r="I1171" s="9"/>
      <c r="J1171" t="s">
        <v>67</v>
      </c>
      <c r="K1171" t="s">
        <v>68</v>
      </c>
    </row>
    <row r="1172" spans="1:11" hidden="1" x14ac:dyDescent="0.25">
      <c r="A1172" t="s">
        <v>81</v>
      </c>
      <c r="B1172" t="s">
        <v>82</v>
      </c>
      <c r="C1172" t="s">
        <v>41</v>
      </c>
      <c r="D1172" t="s">
        <v>42</v>
      </c>
      <c r="E1172">
        <v>2019</v>
      </c>
      <c r="F1172" t="s">
        <v>88</v>
      </c>
      <c r="G1172" t="s">
        <v>89</v>
      </c>
      <c r="I1172" s="9"/>
      <c r="J1172" t="s">
        <v>67</v>
      </c>
      <c r="K1172" t="s">
        <v>68</v>
      </c>
    </row>
    <row r="1173" spans="1:11" hidden="1" x14ac:dyDescent="0.25">
      <c r="A1173" t="s">
        <v>81</v>
      </c>
      <c r="B1173" t="s">
        <v>82</v>
      </c>
      <c r="C1173" t="s">
        <v>41</v>
      </c>
      <c r="D1173" t="s">
        <v>42</v>
      </c>
      <c r="E1173">
        <v>2020</v>
      </c>
      <c r="F1173" t="s">
        <v>88</v>
      </c>
      <c r="G1173" t="s">
        <v>89</v>
      </c>
      <c r="I1173" s="9"/>
      <c r="J1173" t="s">
        <v>67</v>
      </c>
      <c r="K1173" t="s">
        <v>68</v>
      </c>
    </row>
    <row r="1174" spans="1:11" hidden="1" x14ac:dyDescent="0.25">
      <c r="A1174" t="s">
        <v>81</v>
      </c>
      <c r="B1174" t="s">
        <v>82</v>
      </c>
      <c r="C1174" t="s">
        <v>41</v>
      </c>
      <c r="D1174" t="s">
        <v>42</v>
      </c>
      <c r="E1174">
        <v>2021</v>
      </c>
      <c r="F1174" t="s">
        <v>88</v>
      </c>
      <c r="G1174" t="s">
        <v>89</v>
      </c>
      <c r="I1174" s="9"/>
      <c r="J1174" t="s">
        <v>67</v>
      </c>
      <c r="K1174" t="s">
        <v>68</v>
      </c>
    </row>
    <row r="1175" spans="1:11" hidden="1" x14ac:dyDescent="0.25">
      <c r="A1175" t="s">
        <v>81</v>
      </c>
      <c r="B1175" t="s">
        <v>82</v>
      </c>
      <c r="C1175" t="s">
        <v>41</v>
      </c>
      <c r="D1175" t="s">
        <v>42</v>
      </c>
      <c r="E1175">
        <v>2022</v>
      </c>
      <c r="F1175" t="s">
        <v>88</v>
      </c>
      <c r="G1175" t="s">
        <v>89</v>
      </c>
      <c r="I1175" s="9"/>
      <c r="J1175" t="s">
        <v>67</v>
      </c>
      <c r="K1175" t="s">
        <v>68</v>
      </c>
    </row>
    <row r="1176" spans="1:11" hidden="1" x14ac:dyDescent="0.25">
      <c r="A1176" t="s">
        <v>81</v>
      </c>
      <c r="B1176" t="s">
        <v>82</v>
      </c>
      <c r="C1176" t="s">
        <v>41</v>
      </c>
      <c r="D1176" t="s">
        <v>42</v>
      </c>
      <c r="E1176">
        <v>2023</v>
      </c>
      <c r="F1176" t="s">
        <v>88</v>
      </c>
      <c r="G1176" t="s">
        <v>89</v>
      </c>
      <c r="I1176" s="9"/>
      <c r="J1176" t="s">
        <v>67</v>
      </c>
      <c r="K1176" t="s">
        <v>68</v>
      </c>
    </row>
    <row r="1177" spans="1:11" hidden="1" x14ac:dyDescent="0.25">
      <c r="A1177" t="s">
        <v>81</v>
      </c>
      <c r="B1177" t="s">
        <v>82</v>
      </c>
      <c r="C1177" t="s">
        <v>41</v>
      </c>
      <c r="D1177" t="s">
        <v>42</v>
      </c>
      <c r="E1177">
        <v>2024</v>
      </c>
      <c r="F1177" t="s">
        <v>88</v>
      </c>
      <c r="G1177" t="s">
        <v>89</v>
      </c>
      <c r="I1177" s="9"/>
      <c r="J1177" t="s">
        <v>67</v>
      </c>
      <c r="K1177" t="s">
        <v>68</v>
      </c>
    </row>
    <row r="1178" spans="1:11" hidden="1" x14ac:dyDescent="0.25">
      <c r="A1178" t="s">
        <v>81</v>
      </c>
      <c r="B1178" t="s">
        <v>82</v>
      </c>
      <c r="C1178" t="s">
        <v>43</v>
      </c>
      <c r="D1178" t="s">
        <v>44</v>
      </c>
      <c r="E1178">
        <v>2019</v>
      </c>
      <c r="F1178" t="s">
        <v>88</v>
      </c>
      <c r="G1178" t="s">
        <v>89</v>
      </c>
      <c r="I1178" s="9"/>
      <c r="J1178" t="s">
        <v>67</v>
      </c>
      <c r="K1178" t="s">
        <v>68</v>
      </c>
    </row>
    <row r="1179" spans="1:11" hidden="1" x14ac:dyDescent="0.25">
      <c r="A1179" t="s">
        <v>81</v>
      </c>
      <c r="B1179" t="s">
        <v>82</v>
      </c>
      <c r="C1179" t="s">
        <v>43</v>
      </c>
      <c r="D1179" t="s">
        <v>44</v>
      </c>
      <c r="E1179">
        <v>2020</v>
      </c>
      <c r="F1179" t="s">
        <v>88</v>
      </c>
      <c r="G1179" t="s">
        <v>89</v>
      </c>
      <c r="I1179" s="9"/>
      <c r="J1179" t="s">
        <v>67</v>
      </c>
      <c r="K1179" t="s">
        <v>68</v>
      </c>
    </row>
    <row r="1180" spans="1:11" hidden="1" x14ac:dyDescent="0.25">
      <c r="A1180" t="s">
        <v>81</v>
      </c>
      <c r="B1180" t="s">
        <v>82</v>
      </c>
      <c r="C1180" t="s">
        <v>43</v>
      </c>
      <c r="D1180" t="s">
        <v>44</v>
      </c>
      <c r="E1180">
        <v>2021</v>
      </c>
      <c r="F1180" t="s">
        <v>88</v>
      </c>
      <c r="G1180" t="s">
        <v>89</v>
      </c>
      <c r="I1180" s="9"/>
      <c r="J1180" t="s">
        <v>67</v>
      </c>
      <c r="K1180" t="s">
        <v>68</v>
      </c>
    </row>
    <row r="1181" spans="1:11" hidden="1" x14ac:dyDescent="0.25">
      <c r="A1181" t="s">
        <v>81</v>
      </c>
      <c r="B1181" t="s">
        <v>82</v>
      </c>
      <c r="C1181" t="s">
        <v>43</v>
      </c>
      <c r="D1181" t="s">
        <v>44</v>
      </c>
      <c r="E1181">
        <v>2022</v>
      </c>
      <c r="F1181" t="s">
        <v>88</v>
      </c>
      <c r="G1181" t="s">
        <v>89</v>
      </c>
      <c r="I1181" s="9"/>
      <c r="J1181" t="s">
        <v>67</v>
      </c>
      <c r="K1181" t="s">
        <v>68</v>
      </c>
    </row>
    <row r="1182" spans="1:11" hidden="1" x14ac:dyDescent="0.25">
      <c r="A1182" t="s">
        <v>81</v>
      </c>
      <c r="B1182" t="s">
        <v>82</v>
      </c>
      <c r="C1182" t="s">
        <v>43</v>
      </c>
      <c r="D1182" t="s">
        <v>44</v>
      </c>
      <c r="E1182">
        <v>2023</v>
      </c>
      <c r="F1182" t="s">
        <v>88</v>
      </c>
      <c r="G1182" t="s">
        <v>89</v>
      </c>
      <c r="I1182" s="9"/>
      <c r="J1182" t="s">
        <v>67</v>
      </c>
      <c r="K1182" t="s">
        <v>68</v>
      </c>
    </row>
    <row r="1183" spans="1:11" hidden="1" x14ac:dyDescent="0.25">
      <c r="A1183" t="s">
        <v>81</v>
      </c>
      <c r="B1183" t="s">
        <v>82</v>
      </c>
      <c r="C1183" t="s">
        <v>43</v>
      </c>
      <c r="D1183" t="s">
        <v>44</v>
      </c>
      <c r="E1183">
        <v>2024</v>
      </c>
      <c r="F1183" t="s">
        <v>88</v>
      </c>
      <c r="G1183" t="s">
        <v>89</v>
      </c>
      <c r="I1183" s="9"/>
      <c r="J1183" t="s">
        <v>67</v>
      </c>
      <c r="K1183" t="s">
        <v>68</v>
      </c>
    </row>
    <row r="1184" spans="1:11" hidden="1" x14ac:dyDescent="0.25">
      <c r="A1184" t="s">
        <v>81</v>
      </c>
      <c r="B1184" t="s">
        <v>82</v>
      </c>
      <c r="C1184" t="s">
        <v>9</v>
      </c>
      <c r="D1184" t="s">
        <v>10</v>
      </c>
      <c r="E1184">
        <v>2019</v>
      </c>
      <c r="F1184" t="s">
        <v>90</v>
      </c>
      <c r="G1184" t="s">
        <v>91</v>
      </c>
      <c r="H1184">
        <v>2011.74297107342</v>
      </c>
      <c r="I1184" s="9"/>
      <c r="J1184" t="s">
        <v>67</v>
      </c>
      <c r="K1184" t="s">
        <v>68</v>
      </c>
    </row>
    <row r="1185" spans="1:11" hidden="1" x14ac:dyDescent="0.25">
      <c r="A1185" t="s">
        <v>81</v>
      </c>
      <c r="B1185" t="s">
        <v>82</v>
      </c>
      <c r="C1185" t="s">
        <v>9</v>
      </c>
      <c r="D1185" t="s">
        <v>10</v>
      </c>
      <c r="E1185">
        <v>2020</v>
      </c>
      <c r="F1185" t="s">
        <v>90</v>
      </c>
      <c r="G1185" t="s">
        <v>91</v>
      </c>
      <c r="H1185">
        <v>2326.54875546228</v>
      </c>
      <c r="I1185" s="9">
        <v>314.80578438886005</v>
      </c>
      <c r="J1185" t="s">
        <v>67</v>
      </c>
      <c r="K1185" t="s">
        <v>68</v>
      </c>
    </row>
    <row r="1186" spans="1:11" hidden="1" x14ac:dyDescent="0.25">
      <c r="A1186" t="s">
        <v>81</v>
      </c>
      <c r="B1186" t="s">
        <v>82</v>
      </c>
      <c r="C1186" t="s">
        <v>9</v>
      </c>
      <c r="D1186" t="s">
        <v>10</v>
      </c>
      <c r="E1186">
        <v>2021</v>
      </c>
      <c r="F1186" t="s">
        <v>90</v>
      </c>
      <c r="G1186" t="s">
        <v>91</v>
      </c>
      <c r="H1186">
        <v>2478.0214497751599</v>
      </c>
      <c r="I1186" s="9">
        <v>151.47269431287987</v>
      </c>
      <c r="J1186" t="s">
        <v>67</v>
      </c>
      <c r="K1186" t="s">
        <v>68</v>
      </c>
    </row>
    <row r="1187" spans="1:11" hidden="1" x14ac:dyDescent="0.25">
      <c r="A1187" t="s">
        <v>81</v>
      </c>
      <c r="B1187" t="s">
        <v>82</v>
      </c>
      <c r="C1187" t="s">
        <v>9</v>
      </c>
      <c r="D1187" t="s">
        <v>10</v>
      </c>
      <c r="E1187">
        <v>2022</v>
      </c>
      <c r="F1187" t="s">
        <v>90</v>
      </c>
      <c r="G1187" t="s">
        <v>91</v>
      </c>
      <c r="H1187">
        <v>2755.5180751248899</v>
      </c>
      <c r="I1187" s="9">
        <v>277.49662534973004</v>
      </c>
      <c r="J1187" t="s">
        <v>67</v>
      </c>
      <c r="K1187" t="s">
        <v>68</v>
      </c>
    </row>
    <row r="1188" spans="1:11" hidden="1" x14ac:dyDescent="0.25">
      <c r="A1188" t="s">
        <v>81</v>
      </c>
      <c r="B1188" t="s">
        <v>82</v>
      </c>
      <c r="C1188" t="s">
        <v>9</v>
      </c>
      <c r="D1188" t="s">
        <v>10</v>
      </c>
      <c r="E1188">
        <v>2023</v>
      </c>
      <c r="F1188" t="s">
        <v>90</v>
      </c>
      <c r="G1188" t="s">
        <v>91</v>
      </c>
      <c r="H1188">
        <v>2990.9267123211098</v>
      </c>
      <c r="I1188" s="9">
        <v>235.40863719621984</v>
      </c>
      <c r="J1188" t="s">
        <v>67</v>
      </c>
      <c r="K1188" t="s">
        <v>68</v>
      </c>
    </row>
    <row r="1189" spans="1:11" hidden="1" x14ac:dyDescent="0.25">
      <c r="A1189" t="s">
        <v>81</v>
      </c>
      <c r="B1189" t="s">
        <v>82</v>
      </c>
      <c r="C1189" t="s">
        <v>9</v>
      </c>
      <c r="D1189" t="s">
        <v>10</v>
      </c>
      <c r="E1189">
        <v>2024</v>
      </c>
      <c r="F1189" t="s">
        <v>90</v>
      </c>
      <c r="G1189" t="s">
        <v>91</v>
      </c>
      <c r="H1189">
        <v>3331.9179595526798</v>
      </c>
      <c r="I1189" s="9">
        <v>340.99124723157001</v>
      </c>
      <c r="J1189" t="s">
        <v>67</v>
      </c>
      <c r="K1189" t="s">
        <v>68</v>
      </c>
    </row>
    <row r="1190" spans="1:11" hidden="1" x14ac:dyDescent="0.25">
      <c r="A1190" t="s">
        <v>81</v>
      </c>
      <c r="B1190" t="s">
        <v>82</v>
      </c>
      <c r="C1190" t="s">
        <v>11</v>
      </c>
      <c r="D1190" t="s">
        <v>12</v>
      </c>
      <c r="E1190">
        <v>2019</v>
      </c>
      <c r="F1190" t="s">
        <v>90</v>
      </c>
      <c r="G1190" t="s">
        <v>91</v>
      </c>
      <c r="I1190" s="9"/>
      <c r="J1190" t="s">
        <v>67</v>
      </c>
      <c r="K1190" t="s">
        <v>68</v>
      </c>
    </row>
    <row r="1191" spans="1:11" hidden="1" x14ac:dyDescent="0.25">
      <c r="A1191" t="s">
        <v>81</v>
      </c>
      <c r="B1191" t="s">
        <v>82</v>
      </c>
      <c r="C1191" t="s">
        <v>11</v>
      </c>
      <c r="D1191" t="s">
        <v>12</v>
      </c>
      <c r="E1191">
        <v>2020</v>
      </c>
      <c r="F1191" t="s">
        <v>90</v>
      </c>
      <c r="G1191" t="s">
        <v>91</v>
      </c>
      <c r="I1191" s="9"/>
      <c r="J1191" t="s">
        <v>67</v>
      </c>
      <c r="K1191" t="s">
        <v>68</v>
      </c>
    </row>
    <row r="1192" spans="1:11" hidden="1" x14ac:dyDescent="0.25">
      <c r="A1192" t="s">
        <v>81</v>
      </c>
      <c r="B1192" t="s">
        <v>82</v>
      </c>
      <c r="C1192" t="s">
        <v>11</v>
      </c>
      <c r="D1192" t="s">
        <v>12</v>
      </c>
      <c r="E1192">
        <v>2021</v>
      </c>
      <c r="F1192" t="s">
        <v>90</v>
      </c>
      <c r="G1192" t="s">
        <v>91</v>
      </c>
      <c r="I1192" s="9"/>
      <c r="J1192" t="s">
        <v>67</v>
      </c>
      <c r="K1192" t="s">
        <v>68</v>
      </c>
    </row>
    <row r="1193" spans="1:11" hidden="1" x14ac:dyDescent="0.25">
      <c r="A1193" t="s">
        <v>81</v>
      </c>
      <c r="B1193" t="s">
        <v>82</v>
      </c>
      <c r="C1193" t="s">
        <v>11</v>
      </c>
      <c r="D1193" t="s">
        <v>12</v>
      </c>
      <c r="E1193">
        <v>2022</v>
      </c>
      <c r="F1193" t="s">
        <v>90</v>
      </c>
      <c r="G1193" t="s">
        <v>91</v>
      </c>
      <c r="I1193" s="9"/>
      <c r="J1193" t="s">
        <v>67</v>
      </c>
      <c r="K1193" t="s">
        <v>68</v>
      </c>
    </row>
    <row r="1194" spans="1:11" hidden="1" x14ac:dyDescent="0.25">
      <c r="A1194" t="s">
        <v>81</v>
      </c>
      <c r="B1194" t="s">
        <v>82</v>
      </c>
      <c r="C1194" t="s">
        <v>11</v>
      </c>
      <c r="D1194" t="s">
        <v>12</v>
      </c>
      <c r="E1194">
        <v>2023</v>
      </c>
      <c r="F1194" t="s">
        <v>90</v>
      </c>
      <c r="G1194" t="s">
        <v>91</v>
      </c>
      <c r="I1194" s="9"/>
      <c r="J1194" t="s">
        <v>67</v>
      </c>
      <c r="K1194" t="s">
        <v>68</v>
      </c>
    </row>
    <row r="1195" spans="1:11" hidden="1" x14ac:dyDescent="0.25">
      <c r="A1195" t="s">
        <v>81</v>
      </c>
      <c r="B1195" t="s">
        <v>82</v>
      </c>
      <c r="C1195" t="s">
        <v>11</v>
      </c>
      <c r="D1195" t="s">
        <v>12</v>
      </c>
      <c r="E1195">
        <v>2024</v>
      </c>
      <c r="F1195" t="s">
        <v>90</v>
      </c>
      <c r="G1195" t="s">
        <v>91</v>
      </c>
      <c r="I1195" s="9"/>
      <c r="J1195" t="s">
        <v>67</v>
      </c>
      <c r="K1195" t="s">
        <v>68</v>
      </c>
    </row>
    <row r="1196" spans="1:11" hidden="1" x14ac:dyDescent="0.25">
      <c r="A1196" t="s">
        <v>81</v>
      </c>
      <c r="B1196" t="s">
        <v>82</v>
      </c>
      <c r="C1196" t="s">
        <v>47</v>
      </c>
      <c r="D1196" t="s">
        <v>48</v>
      </c>
      <c r="E1196">
        <v>2019</v>
      </c>
      <c r="F1196" t="s">
        <v>90</v>
      </c>
      <c r="G1196" t="s">
        <v>91</v>
      </c>
      <c r="I1196" s="9"/>
      <c r="J1196" t="s">
        <v>67</v>
      </c>
      <c r="K1196" t="s">
        <v>68</v>
      </c>
    </row>
    <row r="1197" spans="1:11" hidden="1" x14ac:dyDescent="0.25">
      <c r="A1197" t="s">
        <v>81</v>
      </c>
      <c r="B1197" t="s">
        <v>82</v>
      </c>
      <c r="C1197" t="s">
        <v>47</v>
      </c>
      <c r="D1197" t="s">
        <v>48</v>
      </c>
      <c r="E1197">
        <v>2020</v>
      </c>
      <c r="F1197" t="s">
        <v>90</v>
      </c>
      <c r="G1197" t="s">
        <v>91</v>
      </c>
      <c r="I1197" s="9"/>
      <c r="J1197" t="s">
        <v>67</v>
      </c>
      <c r="K1197" t="s">
        <v>68</v>
      </c>
    </row>
    <row r="1198" spans="1:11" hidden="1" x14ac:dyDescent="0.25">
      <c r="A1198" t="s">
        <v>81</v>
      </c>
      <c r="B1198" t="s">
        <v>82</v>
      </c>
      <c r="C1198" t="s">
        <v>47</v>
      </c>
      <c r="D1198" t="s">
        <v>48</v>
      </c>
      <c r="E1198">
        <v>2021</v>
      </c>
      <c r="F1198" t="s">
        <v>90</v>
      </c>
      <c r="G1198" t="s">
        <v>91</v>
      </c>
      <c r="H1198">
        <v>2044.01328989026</v>
      </c>
      <c r="I1198" s="9"/>
      <c r="J1198" t="s">
        <v>67</v>
      </c>
      <c r="K1198" t="s">
        <v>68</v>
      </c>
    </row>
    <row r="1199" spans="1:11" hidden="1" x14ac:dyDescent="0.25">
      <c r="A1199" t="s">
        <v>81</v>
      </c>
      <c r="B1199" t="s">
        <v>82</v>
      </c>
      <c r="C1199" t="s">
        <v>47</v>
      </c>
      <c r="D1199" t="s">
        <v>48</v>
      </c>
      <c r="E1199">
        <v>2022</v>
      </c>
      <c r="F1199" t="s">
        <v>90</v>
      </c>
      <c r="G1199" t="s">
        <v>91</v>
      </c>
      <c r="H1199">
        <v>2658.7129000962</v>
      </c>
      <c r="I1199" s="9">
        <v>614.69961020593996</v>
      </c>
      <c r="J1199" t="s">
        <v>67</v>
      </c>
      <c r="K1199" t="s">
        <v>68</v>
      </c>
    </row>
    <row r="1200" spans="1:11" hidden="1" x14ac:dyDescent="0.25">
      <c r="A1200" t="s">
        <v>81</v>
      </c>
      <c r="B1200" t="s">
        <v>82</v>
      </c>
      <c r="C1200" t="s">
        <v>47</v>
      </c>
      <c r="D1200" t="s">
        <v>48</v>
      </c>
      <c r="E1200">
        <v>2023</v>
      </c>
      <c r="F1200" t="s">
        <v>90</v>
      </c>
      <c r="G1200" t="s">
        <v>91</v>
      </c>
      <c r="H1200">
        <v>2771.92210691435</v>
      </c>
      <c r="I1200" s="9">
        <v>113.20920681815005</v>
      </c>
      <c r="J1200" t="s">
        <v>67</v>
      </c>
      <c r="K1200" t="s">
        <v>68</v>
      </c>
    </row>
    <row r="1201" spans="1:11" hidden="1" x14ac:dyDescent="0.25">
      <c r="A1201" t="s">
        <v>81</v>
      </c>
      <c r="B1201" t="s">
        <v>82</v>
      </c>
      <c r="C1201" t="s">
        <v>47</v>
      </c>
      <c r="D1201" t="s">
        <v>48</v>
      </c>
      <c r="E1201">
        <v>2024</v>
      </c>
      <c r="F1201" t="s">
        <v>90</v>
      </c>
      <c r="G1201" t="s">
        <v>91</v>
      </c>
      <c r="H1201">
        <v>3130.8705342277099</v>
      </c>
      <c r="I1201" s="9">
        <v>358.94842731335984</v>
      </c>
      <c r="J1201" t="s">
        <v>67</v>
      </c>
      <c r="K1201" t="s">
        <v>68</v>
      </c>
    </row>
    <row r="1202" spans="1:11" hidden="1" x14ac:dyDescent="0.25">
      <c r="A1202" t="s">
        <v>81</v>
      </c>
      <c r="B1202" t="s">
        <v>82</v>
      </c>
      <c r="C1202" t="s">
        <v>13</v>
      </c>
      <c r="D1202" t="s">
        <v>14</v>
      </c>
      <c r="E1202">
        <v>2019</v>
      </c>
      <c r="F1202" t="s">
        <v>90</v>
      </c>
      <c r="G1202" t="s">
        <v>91</v>
      </c>
      <c r="I1202" s="9"/>
      <c r="J1202" t="s">
        <v>67</v>
      </c>
      <c r="K1202" t="s">
        <v>68</v>
      </c>
    </row>
    <row r="1203" spans="1:11" hidden="1" x14ac:dyDescent="0.25">
      <c r="A1203" t="s">
        <v>81</v>
      </c>
      <c r="B1203" t="s">
        <v>82</v>
      </c>
      <c r="C1203" t="s">
        <v>13</v>
      </c>
      <c r="D1203" t="s">
        <v>14</v>
      </c>
      <c r="E1203">
        <v>2020</v>
      </c>
      <c r="F1203" t="s">
        <v>90</v>
      </c>
      <c r="G1203" t="s">
        <v>91</v>
      </c>
      <c r="I1203" s="9"/>
      <c r="J1203" t="s">
        <v>67</v>
      </c>
      <c r="K1203" t="s">
        <v>68</v>
      </c>
    </row>
    <row r="1204" spans="1:11" hidden="1" x14ac:dyDescent="0.25">
      <c r="A1204" t="s">
        <v>81</v>
      </c>
      <c r="B1204" t="s">
        <v>82</v>
      </c>
      <c r="C1204" t="s">
        <v>13</v>
      </c>
      <c r="D1204" t="s">
        <v>14</v>
      </c>
      <c r="E1204">
        <v>2021</v>
      </c>
      <c r="F1204" t="s">
        <v>90</v>
      </c>
      <c r="G1204" t="s">
        <v>91</v>
      </c>
      <c r="I1204" s="9"/>
      <c r="J1204" t="s">
        <v>67</v>
      </c>
      <c r="K1204" t="s">
        <v>68</v>
      </c>
    </row>
    <row r="1205" spans="1:11" hidden="1" x14ac:dyDescent="0.25">
      <c r="A1205" t="s">
        <v>81</v>
      </c>
      <c r="B1205" t="s">
        <v>82</v>
      </c>
      <c r="C1205" t="s">
        <v>13</v>
      </c>
      <c r="D1205" t="s">
        <v>14</v>
      </c>
      <c r="E1205">
        <v>2022</v>
      </c>
      <c r="F1205" t="s">
        <v>90</v>
      </c>
      <c r="G1205" t="s">
        <v>91</v>
      </c>
      <c r="I1205" s="9"/>
      <c r="J1205" t="s">
        <v>67</v>
      </c>
      <c r="K1205" t="s">
        <v>68</v>
      </c>
    </row>
    <row r="1206" spans="1:11" hidden="1" x14ac:dyDescent="0.25">
      <c r="A1206" t="s">
        <v>81</v>
      </c>
      <c r="B1206" t="s">
        <v>82</v>
      </c>
      <c r="C1206" t="s">
        <v>13</v>
      </c>
      <c r="D1206" t="s">
        <v>14</v>
      </c>
      <c r="E1206">
        <v>2023</v>
      </c>
      <c r="F1206" t="s">
        <v>90</v>
      </c>
      <c r="G1206" t="s">
        <v>91</v>
      </c>
      <c r="I1206" s="9"/>
      <c r="J1206" t="s">
        <v>67</v>
      </c>
      <c r="K1206" t="s">
        <v>68</v>
      </c>
    </row>
    <row r="1207" spans="1:11" hidden="1" x14ac:dyDescent="0.25">
      <c r="A1207" t="s">
        <v>81</v>
      </c>
      <c r="B1207" t="s">
        <v>82</v>
      </c>
      <c r="C1207" t="s">
        <v>13</v>
      </c>
      <c r="D1207" t="s">
        <v>14</v>
      </c>
      <c r="E1207">
        <v>2024</v>
      </c>
      <c r="F1207" t="s">
        <v>90</v>
      </c>
      <c r="G1207" t="s">
        <v>91</v>
      </c>
      <c r="I1207" s="9"/>
      <c r="J1207" t="s">
        <v>67</v>
      </c>
      <c r="K1207" t="s">
        <v>68</v>
      </c>
    </row>
    <row r="1208" spans="1:11" hidden="1" x14ac:dyDescent="0.25">
      <c r="A1208" t="s">
        <v>81</v>
      </c>
      <c r="B1208" t="s">
        <v>82</v>
      </c>
      <c r="C1208" t="s">
        <v>15</v>
      </c>
      <c r="D1208" t="s">
        <v>16</v>
      </c>
      <c r="E1208">
        <v>2019</v>
      </c>
      <c r="F1208" t="s">
        <v>90</v>
      </c>
      <c r="G1208" t="s">
        <v>91</v>
      </c>
      <c r="I1208" s="9"/>
      <c r="J1208" t="s">
        <v>67</v>
      </c>
      <c r="K1208" t="s">
        <v>68</v>
      </c>
    </row>
    <row r="1209" spans="1:11" hidden="1" x14ac:dyDescent="0.25">
      <c r="A1209" t="s">
        <v>81</v>
      </c>
      <c r="B1209" t="s">
        <v>82</v>
      </c>
      <c r="C1209" t="s">
        <v>15</v>
      </c>
      <c r="D1209" t="s">
        <v>16</v>
      </c>
      <c r="E1209">
        <v>2020</v>
      </c>
      <c r="F1209" t="s">
        <v>90</v>
      </c>
      <c r="G1209" t="s">
        <v>91</v>
      </c>
      <c r="I1209" s="9"/>
      <c r="J1209" t="s">
        <v>67</v>
      </c>
      <c r="K1209" t="s">
        <v>68</v>
      </c>
    </row>
    <row r="1210" spans="1:11" hidden="1" x14ac:dyDescent="0.25">
      <c r="A1210" t="s">
        <v>81</v>
      </c>
      <c r="B1210" t="s">
        <v>82</v>
      </c>
      <c r="C1210" t="s">
        <v>15</v>
      </c>
      <c r="D1210" t="s">
        <v>16</v>
      </c>
      <c r="E1210">
        <v>2021</v>
      </c>
      <c r="F1210" t="s">
        <v>90</v>
      </c>
      <c r="G1210" t="s">
        <v>91</v>
      </c>
      <c r="I1210" s="9"/>
      <c r="J1210" t="s">
        <v>67</v>
      </c>
      <c r="K1210" t="s">
        <v>68</v>
      </c>
    </row>
    <row r="1211" spans="1:11" hidden="1" x14ac:dyDescent="0.25">
      <c r="A1211" t="s">
        <v>81</v>
      </c>
      <c r="B1211" t="s">
        <v>82</v>
      </c>
      <c r="C1211" t="s">
        <v>15</v>
      </c>
      <c r="D1211" t="s">
        <v>16</v>
      </c>
      <c r="E1211">
        <v>2022</v>
      </c>
      <c r="F1211" t="s">
        <v>90</v>
      </c>
      <c r="G1211" t="s">
        <v>91</v>
      </c>
      <c r="I1211" s="9"/>
      <c r="J1211" t="s">
        <v>67</v>
      </c>
      <c r="K1211" t="s">
        <v>68</v>
      </c>
    </row>
    <row r="1212" spans="1:11" hidden="1" x14ac:dyDescent="0.25">
      <c r="A1212" t="s">
        <v>81</v>
      </c>
      <c r="B1212" t="s">
        <v>82</v>
      </c>
      <c r="C1212" t="s">
        <v>15</v>
      </c>
      <c r="D1212" t="s">
        <v>16</v>
      </c>
      <c r="E1212">
        <v>2023</v>
      </c>
      <c r="F1212" t="s">
        <v>90</v>
      </c>
      <c r="G1212" t="s">
        <v>91</v>
      </c>
      <c r="I1212" s="9"/>
      <c r="J1212" t="s">
        <v>67</v>
      </c>
      <c r="K1212" t="s">
        <v>68</v>
      </c>
    </row>
    <row r="1213" spans="1:11" hidden="1" x14ac:dyDescent="0.25">
      <c r="A1213" t="s">
        <v>81</v>
      </c>
      <c r="B1213" t="s">
        <v>82</v>
      </c>
      <c r="C1213" t="s">
        <v>15</v>
      </c>
      <c r="D1213" t="s">
        <v>16</v>
      </c>
      <c r="E1213">
        <v>2024</v>
      </c>
      <c r="F1213" t="s">
        <v>90</v>
      </c>
      <c r="G1213" t="s">
        <v>91</v>
      </c>
      <c r="I1213" s="9"/>
      <c r="J1213" t="s">
        <v>67</v>
      </c>
      <c r="K1213" t="s">
        <v>68</v>
      </c>
    </row>
    <row r="1214" spans="1:11" hidden="1" x14ac:dyDescent="0.25">
      <c r="A1214" t="s">
        <v>81</v>
      </c>
      <c r="B1214" t="s">
        <v>82</v>
      </c>
      <c r="C1214" t="s">
        <v>17</v>
      </c>
      <c r="D1214" t="s">
        <v>18</v>
      </c>
      <c r="E1214">
        <v>2019</v>
      </c>
      <c r="F1214" t="s">
        <v>90</v>
      </c>
      <c r="G1214" t="s">
        <v>91</v>
      </c>
      <c r="H1214">
        <v>7008.6584149767104</v>
      </c>
      <c r="I1214" s="9"/>
      <c r="J1214" t="s">
        <v>67</v>
      </c>
      <c r="K1214" t="s">
        <v>68</v>
      </c>
    </row>
    <row r="1215" spans="1:11" hidden="1" x14ac:dyDescent="0.25">
      <c r="A1215" t="s">
        <v>81</v>
      </c>
      <c r="B1215" t="s">
        <v>82</v>
      </c>
      <c r="C1215" t="s">
        <v>17</v>
      </c>
      <c r="D1215" t="s">
        <v>18</v>
      </c>
      <c r="E1215">
        <v>2020</v>
      </c>
      <c r="F1215" t="s">
        <v>90</v>
      </c>
      <c r="G1215" t="s">
        <v>91</v>
      </c>
      <c r="H1215">
        <v>7928.4474988661996</v>
      </c>
      <c r="I1215" s="9">
        <v>919.78908388948912</v>
      </c>
      <c r="J1215" t="s">
        <v>67</v>
      </c>
      <c r="K1215" t="s">
        <v>68</v>
      </c>
    </row>
    <row r="1216" spans="1:11" hidden="1" x14ac:dyDescent="0.25">
      <c r="A1216" t="s">
        <v>81</v>
      </c>
      <c r="B1216" t="s">
        <v>82</v>
      </c>
      <c r="C1216" t="s">
        <v>17</v>
      </c>
      <c r="D1216" t="s">
        <v>18</v>
      </c>
      <c r="E1216">
        <v>2021</v>
      </c>
      <c r="F1216" t="s">
        <v>90</v>
      </c>
      <c r="G1216" t="s">
        <v>91</v>
      </c>
      <c r="H1216">
        <v>8740.7038494590397</v>
      </c>
      <c r="I1216" s="9">
        <v>812.25635059284014</v>
      </c>
      <c r="J1216" t="s">
        <v>67</v>
      </c>
      <c r="K1216" t="s">
        <v>68</v>
      </c>
    </row>
    <row r="1217" spans="1:11" hidden="1" x14ac:dyDescent="0.25">
      <c r="A1217" t="s">
        <v>81</v>
      </c>
      <c r="B1217" t="s">
        <v>82</v>
      </c>
      <c r="C1217" t="s">
        <v>17</v>
      </c>
      <c r="D1217" t="s">
        <v>18</v>
      </c>
      <c r="E1217">
        <v>2022</v>
      </c>
      <c r="F1217" t="s">
        <v>90</v>
      </c>
      <c r="G1217" t="s">
        <v>91</v>
      </c>
      <c r="H1217">
        <v>10186.190482505001</v>
      </c>
      <c r="I1217" s="9">
        <v>1445.4866330459608</v>
      </c>
      <c r="J1217" t="s">
        <v>67</v>
      </c>
      <c r="K1217" t="s">
        <v>68</v>
      </c>
    </row>
    <row r="1218" spans="1:11" hidden="1" x14ac:dyDescent="0.25">
      <c r="A1218" t="s">
        <v>81</v>
      </c>
      <c r="B1218" t="s">
        <v>82</v>
      </c>
      <c r="C1218" t="s">
        <v>17</v>
      </c>
      <c r="D1218" t="s">
        <v>18</v>
      </c>
      <c r="E1218">
        <v>2023</v>
      </c>
      <c r="F1218" t="s">
        <v>90</v>
      </c>
      <c r="G1218" t="s">
        <v>91</v>
      </c>
      <c r="H1218">
        <v>8990.0546305141706</v>
      </c>
      <c r="I1218" s="9">
        <v>-1196.1358519908299</v>
      </c>
      <c r="J1218" t="s">
        <v>67</v>
      </c>
      <c r="K1218" t="s">
        <v>68</v>
      </c>
    </row>
    <row r="1219" spans="1:11" hidden="1" x14ac:dyDescent="0.25">
      <c r="A1219" t="s">
        <v>81</v>
      </c>
      <c r="B1219" t="s">
        <v>82</v>
      </c>
      <c r="C1219" t="s">
        <v>17</v>
      </c>
      <c r="D1219" t="s">
        <v>18</v>
      </c>
      <c r="E1219">
        <v>2024</v>
      </c>
      <c r="F1219" t="s">
        <v>90</v>
      </c>
      <c r="G1219" t="s">
        <v>91</v>
      </c>
      <c r="H1219">
        <v>9259.5192101043704</v>
      </c>
      <c r="I1219" s="9">
        <v>269.46457959019972</v>
      </c>
      <c r="J1219" t="s">
        <v>67</v>
      </c>
      <c r="K1219" t="s">
        <v>68</v>
      </c>
    </row>
    <row r="1220" spans="1:11" hidden="1" x14ac:dyDescent="0.25">
      <c r="A1220" t="s">
        <v>81</v>
      </c>
      <c r="B1220" t="s">
        <v>82</v>
      </c>
      <c r="C1220" t="s">
        <v>19</v>
      </c>
      <c r="D1220" t="s">
        <v>20</v>
      </c>
      <c r="E1220">
        <v>2019</v>
      </c>
      <c r="F1220" t="s">
        <v>90</v>
      </c>
      <c r="G1220" t="s">
        <v>91</v>
      </c>
      <c r="I1220" s="9"/>
      <c r="J1220" t="s">
        <v>67</v>
      </c>
      <c r="K1220" t="s">
        <v>68</v>
      </c>
    </row>
    <row r="1221" spans="1:11" hidden="1" x14ac:dyDescent="0.25">
      <c r="A1221" t="s">
        <v>81</v>
      </c>
      <c r="B1221" t="s">
        <v>82</v>
      </c>
      <c r="C1221" t="s">
        <v>19</v>
      </c>
      <c r="D1221" t="s">
        <v>20</v>
      </c>
      <c r="E1221">
        <v>2020</v>
      </c>
      <c r="F1221" t="s">
        <v>90</v>
      </c>
      <c r="G1221" t="s">
        <v>91</v>
      </c>
      <c r="I1221" s="9"/>
      <c r="J1221" t="s">
        <v>67</v>
      </c>
      <c r="K1221" t="s">
        <v>68</v>
      </c>
    </row>
    <row r="1222" spans="1:11" hidden="1" x14ac:dyDescent="0.25">
      <c r="A1222" t="s">
        <v>81</v>
      </c>
      <c r="B1222" t="s">
        <v>82</v>
      </c>
      <c r="C1222" t="s">
        <v>19</v>
      </c>
      <c r="D1222" t="s">
        <v>20</v>
      </c>
      <c r="E1222">
        <v>2021</v>
      </c>
      <c r="F1222" t="s">
        <v>90</v>
      </c>
      <c r="G1222" t="s">
        <v>91</v>
      </c>
      <c r="I1222" s="9"/>
      <c r="J1222" t="s">
        <v>67</v>
      </c>
      <c r="K1222" t="s">
        <v>68</v>
      </c>
    </row>
    <row r="1223" spans="1:11" hidden="1" x14ac:dyDescent="0.25">
      <c r="A1223" t="s">
        <v>81</v>
      </c>
      <c r="B1223" t="s">
        <v>82</v>
      </c>
      <c r="C1223" t="s">
        <v>19</v>
      </c>
      <c r="D1223" t="s">
        <v>20</v>
      </c>
      <c r="E1223">
        <v>2022</v>
      </c>
      <c r="F1223" t="s">
        <v>90</v>
      </c>
      <c r="G1223" t="s">
        <v>91</v>
      </c>
      <c r="I1223" s="9"/>
      <c r="J1223" t="s">
        <v>67</v>
      </c>
      <c r="K1223" t="s">
        <v>68</v>
      </c>
    </row>
    <row r="1224" spans="1:11" hidden="1" x14ac:dyDescent="0.25">
      <c r="A1224" t="s">
        <v>81</v>
      </c>
      <c r="B1224" t="s">
        <v>82</v>
      </c>
      <c r="C1224" t="s">
        <v>19</v>
      </c>
      <c r="D1224" t="s">
        <v>20</v>
      </c>
      <c r="E1224">
        <v>2023</v>
      </c>
      <c r="F1224" t="s">
        <v>90</v>
      </c>
      <c r="G1224" t="s">
        <v>91</v>
      </c>
      <c r="I1224" s="9"/>
      <c r="J1224" t="s">
        <v>67</v>
      </c>
      <c r="K1224" t="s">
        <v>68</v>
      </c>
    </row>
    <row r="1225" spans="1:11" hidden="1" x14ac:dyDescent="0.25">
      <c r="A1225" t="s">
        <v>81</v>
      </c>
      <c r="B1225" t="s">
        <v>82</v>
      </c>
      <c r="C1225" t="s">
        <v>19</v>
      </c>
      <c r="D1225" t="s">
        <v>20</v>
      </c>
      <c r="E1225">
        <v>2024</v>
      </c>
      <c r="F1225" t="s">
        <v>90</v>
      </c>
      <c r="G1225" t="s">
        <v>91</v>
      </c>
      <c r="I1225" s="9"/>
      <c r="J1225" t="s">
        <v>67</v>
      </c>
      <c r="K1225" t="s">
        <v>68</v>
      </c>
    </row>
    <row r="1226" spans="1:11" hidden="1" x14ac:dyDescent="0.25">
      <c r="A1226" t="s">
        <v>81</v>
      </c>
      <c r="B1226" t="s">
        <v>82</v>
      </c>
      <c r="C1226" t="s">
        <v>21</v>
      </c>
      <c r="D1226" t="s">
        <v>22</v>
      </c>
      <c r="E1226">
        <v>2019</v>
      </c>
      <c r="F1226" t="s">
        <v>90</v>
      </c>
      <c r="G1226" t="s">
        <v>91</v>
      </c>
      <c r="I1226" s="9"/>
      <c r="J1226" t="s">
        <v>67</v>
      </c>
      <c r="K1226" t="s">
        <v>68</v>
      </c>
    </row>
    <row r="1227" spans="1:11" hidden="1" x14ac:dyDescent="0.25">
      <c r="A1227" t="s">
        <v>81</v>
      </c>
      <c r="B1227" t="s">
        <v>82</v>
      </c>
      <c r="C1227" t="s">
        <v>21</v>
      </c>
      <c r="D1227" t="s">
        <v>22</v>
      </c>
      <c r="E1227">
        <v>2020</v>
      </c>
      <c r="F1227" t="s">
        <v>90</v>
      </c>
      <c r="G1227" t="s">
        <v>91</v>
      </c>
      <c r="I1227" s="9"/>
      <c r="J1227" t="s">
        <v>67</v>
      </c>
      <c r="K1227" t="s">
        <v>68</v>
      </c>
    </row>
    <row r="1228" spans="1:11" hidden="1" x14ac:dyDescent="0.25">
      <c r="A1228" t="s">
        <v>81</v>
      </c>
      <c r="B1228" t="s">
        <v>82</v>
      </c>
      <c r="C1228" t="s">
        <v>21</v>
      </c>
      <c r="D1228" t="s">
        <v>22</v>
      </c>
      <c r="E1228">
        <v>2021</v>
      </c>
      <c r="F1228" t="s">
        <v>90</v>
      </c>
      <c r="G1228" t="s">
        <v>91</v>
      </c>
      <c r="I1228" s="9"/>
      <c r="J1228" t="s">
        <v>67</v>
      </c>
      <c r="K1228" t="s">
        <v>68</v>
      </c>
    </row>
    <row r="1229" spans="1:11" hidden="1" x14ac:dyDescent="0.25">
      <c r="A1229" t="s">
        <v>81</v>
      </c>
      <c r="B1229" t="s">
        <v>82</v>
      </c>
      <c r="C1229" t="s">
        <v>21</v>
      </c>
      <c r="D1229" t="s">
        <v>22</v>
      </c>
      <c r="E1229">
        <v>2022</v>
      </c>
      <c r="F1229" t="s">
        <v>90</v>
      </c>
      <c r="G1229" t="s">
        <v>91</v>
      </c>
      <c r="I1229" s="9"/>
      <c r="J1229" t="s">
        <v>67</v>
      </c>
      <c r="K1229" t="s">
        <v>68</v>
      </c>
    </row>
    <row r="1230" spans="1:11" hidden="1" x14ac:dyDescent="0.25">
      <c r="A1230" t="s">
        <v>81</v>
      </c>
      <c r="B1230" t="s">
        <v>82</v>
      </c>
      <c r="C1230" t="s">
        <v>21</v>
      </c>
      <c r="D1230" t="s">
        <v>22</v>
      </c>
      <c r="E1230">
        <v>2023</v>
      </c>
      <c r="F1230" t="s">
        <v>90</v>
      </c>
      <c r="G1230" t="s">
        <v>91</v>
      </c>
      <c r="I1230" s="9"/>
      <c r="J1230" t="s">
        <v>67</v>
      </c>
      <c r="K1230" t="s">
        <v>68</v>
      </c>
    </row>
    <row r="1231" spans="1:11" hidden="1" x14ac:dyDescent="0.25">
      <c r="A1231" t="s">
        <v>81</v>
      </c>
      <c r="B1231" t="s">
        <v>82</v>
      </c>
      <c r="C1231" t="s">
        <v>21</v>
      </c>
      <c r="D1231" t="s">
        <v>22</v>
      </c>
      <c r="E1231">
        <v>2024</v>
      </c>
      <c r="F1231" t="s">
        <v>90</v>
      </c>
      <c r="G1231" t="s">
        <v>91</v>
      </c>
      <c r="I1231" s="9"/>
      <c r="J1231" t="s">
        <v>67</v>
      </c>
      <c r="K1231" t="s">
        <v>68</v>
      </c>
    </row>
    <row r="1232" spans="1:11" hidden="1" x14ac:dyDescent="0.25">
      <c r="A1232" t="s">
        <v>81</v>
      </c>
      <c r="B1232" t="s">
        <v>82</v>
      </c>
      <c r="C1232" t="s">
        <v>23</v>
      </c>
      <c r="D1232" t="s">
        <v>24</v>
      </c>
      <c r="E1232">
        <v>2019</v>
      </c>
      <c r="F1232" t="s">
        <v>90</v>
      </c>
      <c r="G1232" t="s">
        <v>91</v>
      </c>
      <c r="I1232" s="9"/>
      <c r="J1232" t="s">
        <v>67</v>
      </c>
      <c r="K1232" t="s">
        <v>68</v>
      </c>
    </row>
    <row r="1233" spans="1:11" hidden="1" x14ac:dyDescent="0.25">
      <c r="A1233" t="s">
        <v>81</v>
      </c>
      <c r="B1233" t="s">
        <v>82</v>
      </c>
      <c r="C1233" t="s">
        <v>23</v>
      </c>
      <c r="D1233" t="s">
        <v>24</v>
      </c>
      <c r="E1233">
        <v>2020</v>
      </c>
      <c r="F1233" t="s">
        <v>90</v>
      </c>
      <c r="G1233" t="s">
        <v>91</v>
      </c>
      <c r="I1233" s="9"/>
      <c r="J1233" t="s">
        <v>67</v>
      </c>
      <c r="K1233" t="s">
        <v>68</v>
      </c>
    </row>
    <row r="1234" spans="1:11" hidden="1" x14ac:dyDescent="0.25">
      <c r="A1234" t="s">
        <v>81</v>
      </c>
      <c r="B1234" t="s">
        <v>82</v>
      </c>
      <c r="C1234" t="s">
        <v>23</v>
      </c>
      <c r="D1234" t="s">
        <v>24</v>
      </c>
      <c r="E1234">
        <v>2021</v>
      </c>
      <c r="F1234" t="s">
        <v>90</v>
      </c>
      <c r="G1234" t="s">
        <v>91</v>
      </c>
      <c r="I1234" s="9"/>
      <c r="J1234" t="s">
        <v>67</v>
      </c>
      <c r="K1234" t="s">
        <v>68</v>
      </c>
    </row>
    <row r="1235" spans="1:11" hidden="1" x14ac:dyDescent="0.25">
      <c r="A1235" t="s">
        <v>81</v>
      </c>
      <c r="B1235" t="s">
        <v>82</v>
      </c>
      <c r="C1235" t="s">
        <v>23</v>
      </c>
      <c r="D1235" t="s">
        <v>24</v>
      </c>
      <c r="E1235">
        <v>2022</v>
      </c>
      <c r="F1235" t="s">
        <v>90</v>
      </c>
      <c r="G1235" t="s">
        <v>91</v>
      </c>
      <c r="I1235" s="9"/>
      <c r="J1235" t="s">
        <v>67</v>
      </c>
      <c r="K1235" t="s">
        <v>68</v>
      </c>
    </row>
    <row r="1236" spans="1:11" hidden="1" x14ac:dyDescent="0.25">
      <c r="A1236" t="s">
        <v>81</v>
      </c>
      <c r="B1236" t="s">
        <v>82</v>
      </c>
      <c r="C1236" t="s">
        <v>23</v>
      </c>
      <c r="D1236" t="s">
        <v>24</v>
      </c>
      <c r="E1236">
        <v>2023</v>
      </c>
      <c r="F1236" t="s">
        <v>90</v>
      </c>
      <c r="G1236" t="s">
        <v>91</v>
      </c>
      <c r="I1236" s="9"/>
      <c r="J1236" t="s">
        <v>67</v>
      </c>
      <c r="K1236" t="s">
        <v>68</v>
      </c>
    </row>
    <row r="1237" spans="1:11" hidden="1" x14ac:dyDescent="0.25">
      <c r="A1237" t="s">
        <v>81</v>
      </c>
      <c r="B1237" t="s">
        <v>82</v>
      </c>
      <c r="C1237" t="s">
        <v>23</v>
      </c>
      <c r="D1237" t="s">
        <v>24</v>
      </c>
      <c r="E1237">
        <v>2024</v>
      </c>
      <c r="F1237" t="s">
        <v>90</v>
      </c>
      <c r="G1237" t="s">
        <v>91</v>
      </c>
      <c r="I1237" s="9"/>
      <c r="J1237" t="s">
        <v>67</v>
      </c>
      <c r="K1237" t="s">
        <v>68</v>
      </c>
    </row>
    <row r="1238" spans="1:11" hidden="1" x14ac:dyDescent="0.25">
      <c r="A1238" t="s">
        <v>81</v>
      </c>
      <c r="B1238" t="s">
        <v>82</v>
      </c>
      <c r="C1238" t="s">
        <v>25</v>
      </c>
      <c r="D1238" t="s">
        <v>26</v>
      </c>
      <c r="E1238">
        <v>2019</v>
      </c>
      <c r="F1238" t="s">
        <v>90</v>
      </c>
      <c r="G1238" t="s">
        <v>91</v>
      </c>
      <c r="H1238">
        <v>1602.27874269065</v>
      </c>
      <c r="I1238" s="9"/>
      <c r="J1238" t="s">
        <v>67</v>
      </c>
      <c r="K1238" t="s">
        <v>68</v>
      </c>
    </row>
    <row r="1239" spans="1:11" hidden="1" x14ac:dyDescent="0.25">
      <c r="A1239" t="s">
        <v>81</v>
      </c>
      <c r="B1239" t="s">
        <v>82</v>
      </c>
      <c r="C1239" t="s">
        <v>25</v>
      </c>
      <c r="D1239" t="s">
        <v>26</v>
      </c>
      <c r="E1239">
        <v>2020</v>
      </c>
      <c r="F1239" t="s">
        <v>90</v>
      </c>
      <c r="G1239" t="s">
        <v>91</v>
      </c>
      <c r="H1239">
        <v>1851.80177286767</v>
      </c>
      <c r="I1239" s="9">
        <v>249.52303017702002</v>
      </c>
      <c r="J1239" t="s">
        <v>67</v>
      </c>
      <c r="K1239" t="s">
        <v>68</v>
      </c>
    </row>
    <row r="1240" spans="1:11" hidden="1" x14ac:dyDescent="0.25">
      <c r="A1240" t="s">
        <v>81</v>
      </c>
      <c r="B1240" t="s">
        <v>82</v>
      </c>
      <c r="C1240" t="s">
        <v>25</v>
      </c>
      <c r="D1240" t="s">
        <v>26</v>
      </c>
      <c r="E1240">
        <v>2021</v>
      </c>
      <c r="F1240" t="s">
        <v>90</v>
      </c>
      <c r="G1240" t="s">
        <v>91</v>
      </c>
      <c r="H1240">
        <v>2097.2426975642302</v>
      </c>
      <c r="I1240" s="9">
        <v>245.44092469656016</v>
      </c>
      <c r="J1240" t="s">
        <v>67</v>
      </c>
      <c r="K1240" t="s">
        <v>68</v>
      </c>
    </row>
    <row r="1241" spans="1:11" hidden="1" x14ac:dyDescent="0.25">
      <c r="A1241" t="s">
        <v>81</v>
      </c>
      <c r="B1241" t="s">
        <v>82</v>
      </c>
      <c r="C1241" t="s">
        <v>25</v>
      </c>
      <c r="D1241" t="s">
        <v>26</v>
      </c>
      <c r="E1241">
        <v>2022</v>
      </c>
      <c r="F1241" t="s">
        <v>90</v>
      </c>
      <c r="G1241" t="s">
        <v>91</v>
      </c>
      <c r="H1241">
        <v>1847.0250969097899</v>
      </c>
      <c r="I1241" s="9">
        <v>-250.21760065444028</v>
      </c>
      <c r="J1241" t="s">
        <v>67</v>
      </c>
      <c r="K1241" t="s">
        <v>68</v>
      </c>
    </row>
    <row r="1242" spans="1:11" hidden="1" x14ac:dyDescent="0.25">
      <c r="A1242" t="s">
        <v>81</v>
      </c>
      <c r="B1242" t="s">
        <v>82</v>
      </c>
      <c r="C1242" t="s">
        <v>25</v>
      </c>
      <c r="D1242" t="s">
        <v>26</v>
      </c>
      <c r="E1242">
        <v>2023</v>
      </c>
      <c r="F1242" t="s">
        <v>90</v>
      </c>
      <c r="G1242" t="s">
        <v>91</v>
      </c>
      <c r="H1242">
        <v>2002.7718028988299</v>
      </c>
      <c r="I1242" s="9">
        <v>155.74670598904004</v>
      </c>
      <c r="J1242" t="s">
        <v>67</v>
      </c>
      <c r="K1242" t="s">
        <v>68</v>
      </c>
    </row>
    <row r="1243" spans="1:11" hidden="1" x14ac:dyDescent="0.25">
      <c r="A1243" t="s">
        <v>81</v>
      </c>
      <c r="B1243" t="s">
        <v>82</v>
      </c>
      <c r="C1243" t="s">
        <v>25</v>
      </c>
      <c r="D1243" t="s">
        <v>26</v>
      </c>
      <c r="E1243">
        <v>2024</v>
      </c>
      <c r="F1243" t="s">
        <v>90</v>
      </c>
      <c r="G1243" t="s">
        <v>91</v>
      </c>
      <c r="H1243">
        <v>2171.5209973098999</v>
      </c>
      <c r="I1243" s="9">
        <v>168.74919441106999</v>
      </c>
      <c r="J1243" t="s">
        <v>67</v>
      </c>
      <c r="K1243" t="s">
        <v>68</v>
      </c>
    </row>
    <row r="1244" spans="1:11" hidden="1" x14ac:dyDescent="0.25">
      <c r="A1244" t="s">
        <v>81</v>
      </c>
      <c r="B1244" t="s">
        <v>82</v>
      </c>
      <c r="C1244" t="s">
        <v>27</v>
      </c>
      <c r="D1244" t="s">
        <v>28</v>
      </c>
      <c r="E1244">
        <v>2019</v>
      </c>
      <c r="F1244" t="s">
        <v>90</v>
      </c>
      <c r="G1244" t="s">
        <v>91</v>
      </c>
      <c r="H1244">
        <v>718.89626315504495</v>
      </c>
      <c r="I1244" s="9"/>
      <c r="J1244" t="s">
        <v>67</v>
      </c>
      <c r="K1244" t="s">
        <v>68</v>
      </c>
    </row>
    <row r="1245" spans="1:11" hidden="1" x14ac:dyDescent="0.25">
      <c r="A1245" t="s">
        <v>81</v>
      </c>
      <c r="B1245" t="s">
        <v>82</v>
      </c>
      <c r="C1245" t="s">
        <v>27</v>
      </c>
      <c r="D1245" t="s">
        <v>28</v>
      </c>
      <c r="E1245">
        <v>2020</v>
      </c>
      <c r="F1245" t="s">
        <v>90</v>
      </c>
      <c r="G1245" t="s">
        <v>91</v>
      </c>
      <c r="H1245">
        <v>746.53518926091999</v>
      </c>
      <c r="I1245" s="9">
        <v>27.638926105875044</v>
      </c>
      <c r="J1245" t="s">
        <v>67</v>
      </c>
      <c r="K1245" t="s">
        <v>68</v>
      </c>
    </row>
    <row r="1246" spans="1:11" hidden="1" x14ac:dyDescent="0.25">
      <c r="A1246" t="s">
        <v>81</v>
      </c>
      <c r="B1246" t="s">
        <v>82</v>
      </c>
      <c r="C1246" t="s">
        <v>27</v>
      </c>
      <c r="D1246" t="s">
        <v>28</v>
      </c>
      <c r="E1246">
        <v>2021</v>
      </c>
      <c r="F1246" t="s">
        <v>90</v>
      </c>
      <c r="G1246" t="s">
        <v>91</v>
      </c>
      <c r="H1246">
        <v>764.81287042045597</v>
      </c>
      <c r="I1246" s="9">
        <v>18.277681159535973</v>
      </c>
      <c r="J1246" t="s">
        <v>67</v>
      </c>
      <c r="K1246" t="s">
        <v>68</v>
      </c>
    </row>
    <row r="1247" spans="1:11" hidden="1" x14ac:dyDescent="0.25">
      <c r="A1247" t="s">
        <v>81</v>
      </c>
      <c r="B1247" t="s">
        <v>82</v>
      </c>
      <c r="C1247" t="s">
        <v>27</v>
      </c>
      <c r="D1247" t="s">
        <v>28</v>
      </c>
      <c r="E1247">
        <v>2022</v>
      </c>
      <c r="F1247" t="s">
        <v>90</v>
      </c>
      <c r="G1247" t="s">
        <v>91</v>
      </c>
      <c r="H1247">
        <v>780.99711570174304</v>
      </c>
      <c r="I1247" s="9">
        <v>16.184245281287076</v>
      </c>
      <c r="J1247" t="s">
        <v>67</v>
      </c>
      <c r="K1247" t="s">
        <v>68</v>
      </c>
    </row>
    <row r="1248" spans="1:11" hidden="1" x14ac:dyDescent="0.25">
      <c r="A1248" t="s">
        <v>81</v>
      </c>
      <c r="B1248" t="s">
        <v>82</v>
      </c>
      <c r="C1248" t="s">
        <v>27</v>
      </c>
      <c r="D1248" t="s">
        <v>28</v>
      </c>
      <c r="E1248">
        <v>2023</v>
      </c>
      <c r="F1248" t="s">
        <v>90</v>
      </c>
      <c r="G1248" t="s">
        <v>91</v>
      </c>
      <c r="H1248">
        <v>792.75590454558096</v>
      </c>
      <c r="I1248" s="9">
        <v>11.75878884383792</v>
      </c>
      <c r="J1248" t="s">
        <v>67</v>
      </c>
      <c r="K1248" t="s">
        <v>68</v>
      </c>
    </row>
    <row r="1249" spans="1:11" hidden="1" x14ac:dyDescent="0.25">
      <c r="A1249" t="s">
        <v>81</v>
      </c>
      <c r="B1249" t="s">
        <v>82</v>
      </c>
      <c r="C1249" t="s">
        <v>27</v>
      </c>
      <c r="D1249" t="s">
        <v>28</v>
      </c>
      <c r="E1249">
        <v>2024</v>
      </c>
      <c r="F1249" t="s">
        <v>90</v>
      </c>
      <c r="G1249" t="s">
        <v>91</v>
      </c>
      <c r="H1249">
        <v>812.21194636478003</v>
      </c>
      <c r="I1249" s="9">
        <v>19.456041819199072</v>
      </c>
      <c r="J1249" t="s">
        <v>67</v>
      </c>
      <c r="K1249" t="s">
        <v>68</v>
      </c>
    </row>
    <row r="1250" spans="1:11" hidden="1" x14ac:dyDescent="0.25">
      <c r="A1250" t="s">
        <v>81</v>
      </c>
      <c r="B1250" t="s">
        <v>82</v>
      </c>
      <c r="C1250" t="s">
        <v>29</v>
      </c>
      <c r="D1250" t="s">
        <v>30</v>
      </c>
      <c r="E1250">
        <v>2019</v>
      </c>
      <c r="F1250" t="s">
        <v>90</v>
      </c>
      <c r="G1250" t="s">
        <v>91</v>
      </c>
      <c r="H1250">
        <v>7061.1784020409395</v>
      </c>
      <c r="I1250" s="9"/>
      <c r="J1250" t="s">
        <v>67</v>
      </c>
      <c r="K1250" t="s">
        <v>68</v>
      </c>
    </row>
    <row r="1251" spans="1:11" hidden="1" x14ac:dyDescent="0.25">
      <c r="A1251" t="s">
        <v>81</v>
      </c>
      <c r="B1251" t="s">
        <v>82</v>
      </c>
      <c r="C1251" t="s">
        <v>29</v>
      </c>
      <c r="D1251" t="s">
        <v>30</v>
      </c>
      <c r="E1251">
        <v>2020</v>
      </c>
      <c r="F1251" t="s">
        <v>90</v>
      </c>
      <c r="G1251" t="s">
        <v>91</v>
      </c>
      <c r="H1251">
        <v>6974.08616502725</v>
      </c>
      <c r="I1251" s="9">
        <v>-87.092237013689555</v>
      </c>
      <c r="J1251" t="s">
        <v>67</v>
      </c>
      <c r="K1251" t="s">
        <v>68</v>
      </c>
    </row>
    <row r="1252" spans="1:11" hidden="1" x14ac:dyDescent="0.25">
      <c r="A1252" t="s">
        <v>81</v>
      </c>
      <c r="B1252" t="s">
        <v>82</v>
      </c>
      <c r="C1252" t="s">
        <v>29</v>
      </c>
      <c r="D1252" t="s">
        <v>30</v>
      </c>
      <c r="E1252">
        <v>2021</v>
      </c>
      <c r="F1252" t="s">
        <v>90</v>
      </c>
      <c r="G1252" t="s">
        <v>91</v>
      </c>
      <c r="H1252">
        <v>7128.43667398039</v>
      </c>
      <c r="I1252" s="9">
        <v>154.35050895313998</v>
      </c>
      <c r="J1252" t="s">
        <v>67</v>
      </c>
      <c r="K1252" t="s">
        <v>68</v>
      </c>
    </row>
    <row r="1253" spans="1:11" hidden="1" x14ac:dyDescent="0.25">
      <c r="A1253" t="s">
        <v>81</v>
      </c>
      <c r="B1253" t="s">
        <v>82</v>
      </c>
      <c r="C1253" t="s">
        <v>29</v>
      </c>
      <c r="D1253" t="s">
        <v>30</v>
      </c>
      <c r="E1253">
        <v>2022</v>
      </c>
      <c r="F1253" t="s">
        <v>90</v>
      </c>
      <c r="G1253" t="s">
        <v>91</v>
      </c>
      <c r="H1253">
        <v>7123.2746301052102</v>
      </c>
      <c r="I1253" s="9">
        <v>-5.1620438751797337</v>
      </c>
      <c r="J1253" t="s">
        <v>67</v>
      </c>
      <c r="K1253" t="s">
        <v>68</v>
      </c>
    </row>
    <row r="1254" spans="1:11" hidden="1" x14ac:dyDescent="0.25">
      <c r="A1254" t="s">
        <v>81</v>
      </c>
      <c r="B1254" t="s">
        <v>82</v>
      </c>
      <c r="C1254" t="s">
        <v>29</v>
      </c>
      <c r="D1254" t="s">
        <v>30</v>
      </c>
      <c r="E1254">
        <v>2023</v>
      </c>
      <c r="F1254" t="s">
        <v>90</v>
      </c>
      <c r="G1254" t="s">
        <v>91</v>
      </c>
      <c r="H1254">
        <v>7035.6758572097797</v>
      </c>
      <c r="I1254" s="9">
        <v>-87.598772895430557</v>
      </c>
      <c r="J1254" t="s">
        <v>67</v>
      </c>
      <c r="K1254" t="s">
        <v>68</v>
      </c>
    </row>
    <row r="1255" spans="1:11" hidden="1" x14ac:dyDescent="0.25">
      <c r="A1255" t="s">
        <v>81</v>
      </c>
      <c r="B1255" t="s">
        <v>82</v>
      </c>
      <c r="C1255" t="s">
        <v>29</v>
      </c>
      <c r="D1255" t="s">
        <v>30</v>
      </c>
      <c r="E1255">
        <v>2024</v>
      </c>
      <c r="F1255" t="s">
        <v>90</v>
      </c>
      <c r="G1255" t="s">
        <v>91</v>
      </c>
      <c r="H1255">
        <v>6872.6794537547603</v>
      </c>
      <c r="I1255" s="9">
        <v>-162.99640345501939</v>
      </c>
      <c r="J1255" t="s">
        <v>67</v>
      </c>
      <c r="K1255" t="s">
        <v>68</v>
      </c>
    </row>
    <row r="1256" spans="1:11" hidden="1" x14ac:dyDescent="0.25">
      <c r="A1256" t="s">
        <v>81</v>
      </c>
      <c r="B1256" t="s">
        <v>82</v>
      </c>
      <c r="C1256" t="s">
        <v>49</v>
      </c>
      <c r="D1256" t="s">
        <v>50</v>
      </c>
      <c r="E1256">
        <v>2019</v>
      </c>
      <c r="F1256" t="s">
        <v>90</v>
      </c>
      <c r="G1256" t="s">
        <v>91</v>
      </c>
      <c r="I1256" s="9"/>
      <c r="J1256" t="s">
        <v>67</v>
      </c>
      <c r="K1256" t="s">
        <v>68</v>
      </c>
    </row>
    <row r="1257" spans="1:11" hidden="1" x14ac:dyDescent="0.25">
      <c r="A1257" t="s">
        <v>81</v>
      </c>
      <c r="B1257" t="s">
        <v>82</v>
      </c>
      <c r="C1257" t="s">
        <v>49</v>
      </c>
      <c r="D1257" t="s">
        <v>50</v>
      </c>
      <c r="E1257">
        <v>2020</v>
      </c>
      <c r="F1257" t="s">
        <v>90</v>
      </c>
      <c r="G1257" t="s">
        <v>91</v>
      </c>
      <c r="I1257" s="9"/>
      <c r="J1257" t="s">
        <v>67</v>
      </c>
      <c r="K1257" t="s">
        <v>68</v>
      </c>
    </row>
    <row r="1258" spans="1:11" hidden="1" x14ac:dyDescent="0.25">
      <c r="A1258" t="s">
        <v>81</v>
      </c>
      <c r="B1258" t="s">
        <v>82</v>
      </c>
      <c r="C1258" t="s">
        <v>49</v>
      </c>
      <c r="D1258" t="s">
        <v>50</v>
      </c>
      <c r="E1258">
        <v>2021</v>
      </c>
      <c r="F1258" t="s">
        <v>90</v>
      </c>
      <c r="G1258" t="s">
        <v>91</v>
      </c>
      <c r="I1258" s="9"/>
      <c r="J1258" t="s">
        <v>67</v>
      </c>
      <c r="K1258" t="s">
        <v>68</v>
      </c>
    </row>
    <row r="1259" spans="1:11" hidden="1" x14ac:dyDescent="0.25">
      <c r="A1259" t="s">
        <v>81</v>
      </c>
      <c r="B1259" t="s">
        <v>82</v>
      </c>
      <c r="C1259" t="s">
        <v>49</v>
      </c>
      <c r="D1259" t="s">
        <v>50</v>
      </c>
      <c r="E1259">
        <v>2022</v>
      </c>
      <c r="F1259" t="s">
        <v>90</v>
      </c>
      <c r="G1259" t="s">
        <v>91</v>
      </c>
      <c r="I1259" s="9"/>
      <c r="J1259" t="s">
        <v>67</v>
      </c>
      <c r="K1259" t="s">
        <v>68</v>
      </c>
    </row>
    <row r="1260" spans="1:11" hidden="1" x14ac:dyDescent="0.25">
      <c r="A1260" t="s">
        <v>81</v>
      </c>
      <c r="B1260" t="s">
        <v>82</v>
      </c>
      <c r="C1260" t="s">
        <v>49</v>
      </c>
      <c r="D1260" t="s">
        <v>50</v>
      </c>
      <c r="E1260">
        <v>2023</v>
      </c>
      <c r="F1260" t="s">
        <v>90</v>
      </c>
      <c r="G1260" t="s">
        <v>91</v>
      </c>
      <c r="I1260" s="9"/>
      <c r="J1260" t="s">
        <v>67</v>
      </c>
      <c r="K1260" t="s">
        <v>68</v>
      </c>
    </row>
    <row r="1261" spans="1:11" hidden="1" x14ac:dyDescent="0.25">
      <c r="A1261" t="s">
        <v>81</v>
      </c>
      <c r="B1261" t="s">
        <v>82</v>
      </c>
      <c r="C1261" t="s">
        <v>49</v>
      </c>
      <c r="D1261" t="s">
        <v>50</v>
      </c>
      <c r="E1261">
        <v>2024</v>
      </c>
      <c r="F1261" t="s">
        <v>90</v>
      </c>
      <c r="G1261" t="s">
        <v>91</v>
      </c>
      <c r="I1261" s="9"/>
      <c r="J1261" t="s">
        <v>67</v>
      </c>
      <c r="K1261" t="s">
        <v>68</v>
      </c>
    </row>
    <row r="1262" spans="1:11" hidden="1" x14ac:dyDescent="0.25">
      <c r="A1262" t="s">
        <v>81</v>
      </c>
      <c r="B1262" t="s">
        <v>82</v>
      </c>
      <c r="C1262" t="s">
        <v>33</v>
      </c>
      <c r="D1262" t="s">
        <v>34</v>
      </c>
      <c r="E1262">
        <v>2019</v>
      </c>
      <c r="F1262" t="s">
        <v>90</v>
      </c>
      <c r="G1262" t="s">
        <v>91</v>
      </c>
      <c r="H1262">
        <v>1064.7135520801201</v>
      </c>
      <c r="I1262" s="9"/>
      <c r="J1262" t="s">
        <v>67</v>
      </c>
      <c r="K1262" t="s">
        <v>68</v>
      </c>
    </row>
    <row r="1263" spans="1:11" hidden="1" x14ac:dyDescent="0.25">
      <c r="A1263" t="s">
        <v>81</v>
      </c>
      <c r="B1263" t="s">
        <v>82</v>
      </c>
      <c r="C1263" t="s">
        <v>33</v>
      </c>
      <c r="D1263" t="s">
        <v>34</v>
      </c>
      <c r="E1263">
        <v>2020</v>
      </c>
      <c r="F1263" t="s">
        <v>90</v>
      </c>
      <c r="G1263" t="s">
        <v>91</v>
      </c>
      <c r="H1263">
        <v>1120.68720558719</v>
      </c>
      <c r="I1263" s="9">
        <v>55.973653507069912</v>
      </c>
      <c r="J1263" t="s">
        <v>67</v>
      </c>
      <c r="K1263" t="s">
        <v>68</v>
      </c>
    </row>
    <row r="1264" spans="1:11" hidden="1" x14ac:dyDescent="0.25">
      <c r="A1264" t="s">
        <v>81</v>
      </c>
      <c r="B1264" t="s">
        <v>82</v>
      </c>
      <c r="C1264" t="s">
        <v>33</v>
      </c>
      <c r="D1264" t="s">
        <v>34</v>
      </c>
      <c r="E1264">
        <v>2021</v>
      </c>
      <c r="F1264" t="s">
        <v>90</v>
      </c>
      <c r="G1264" t="s">
        <v>91</v>
      </c>
      <c r="H1264">
        <v>1156.09949210488</v>
      </c>
      <c r="I1264" s="9">
        <v>35.412286517690063</v>
      </c>
      <c r="J1264" t="s">
        <v>67</v>
      </c>
      <c r="K1264" t="s">
        <v>68</v>
      </c>
    </row>
    <row r="1265" spans="1:11" hidden="1" x14ac:dyDescent="0.25">
      <c r="A1265" t="s">
        <v>81</v>
      </c>
      <c r="B1265" t="s">
        <v>82</v>
      </c>
      <c r="C1265" t="s">
        <v>33</v>
      </c>
      <c r="D1265" t="s">
        <v>34</v>
      </c>
      <c r="E1265">
        <v>2022</v>
      </c>
      <c r="F1265" t="s">
        <v>90</v>
      </c>
      <c r="G1265" t="s">
        <v>91</v>
      </c>
      <c r="H1265">
        <v>1166.29656595957</v>
      </c>
      <c r="I1265" s="9">
        <v>10.197073854689961</v>
      </c>
      <c r="J1265" t="s">
        <v>67</v>
      </c>
      <c r="K1265" t="s">
        <v>68</v>
      </c>
    </row>
    <row r="1266" spans="1:11" hidden="1" x14ac:dyDescent="0.25">
      <c r="A1266" t="s">
        <v>81</v>
      </c>
      <c r="B1266" t="s">
        <v>82</v>
      </c>
      <c r="C1266" t="s">
        <v>33</v>
      </c>
      <c r="D1266" t="s">
        <v>34</v>
      </c>
      <c r="E1266">
        <v>2023</v>
      </c>
      <c r="F1266" t="s">
        <v>90</v>
      </c>
      <c r="G1266" t="s">
        <v>91</v>
      </c>
      <c r="H1266">
        <v>1156.6204680281201</v>
      </c>
      <c r="I1266" s="9">
        <v>-9.6760979314499309</v>
      </c>
      <c r="J1266" t="s">
        <v>67</v>
      </c>
      <c r="K1266" t="s">
        <v>68</v>
      </c>
    </row>
    <row r="1267" spans="1:11" hidden="1" x14ac:dyDescent="0.25">
      <c r="A1267" t="s">
        <v>81</v>
      </c>
      <c r="B1267" t="s">
        <v>82</v>
      </c>
      <c r="C1267" t="s">
        <v>33</v>
      </c>
      <c r="D1267" t="s">
        <v>34</v>
      </c>
      <c r="E1267">
        <v>2024</v>
      </c>
      <c r="F1267" t="s">
        <v>90</v>
      </c>
      <c r="G1267" t="s">
        <v>91</v>
      </c>
      <c r="H1267">
        <v>1193.97549126591</v>
      </c>
      <c r="I1267" s="9">
        <v>37.355023237789965</v>
      </c>
      <c r="J1267" t="s">
        <v>67</v>
      </c>
      <c r="K1267" t="s">
        <v>68</v>
      </c>
    </row>
    <row r="1268" spans="1:11" hidden="1" x14ac:dyDescent="0.25">
      <c r="A1268" t="s">
        <v>81</v>
      </c>
      <c r="B1268" t="s">
        <v>82</v>
      </c>
      <c r="C1268" t="s">
        <v>51</v>
      </c>
      <c r="D1268" t="s">
        <v>52</v>
      </c>
      <c r="E1268">
        <v>2019</v>
      </c>
      <c r="F1268" t="s">
        <v>90</v>
      </c>
      <c r="G1268" t="s">
        <v>91</v>
      </c>
      <c r="H1268">
        <v>1183.2390405198801</v>
      </c>
      <c r="I1268" s="9"/>
      <c r="J1268" t="s">
        <v>67</v>
      </c>
      <c r="K1268" t="s">
        <v>68</v>
      </c>
    </row>
    <row r="1269" spans="1:11" hidden="1" x14ac:dyDescent="0.25">
      <c r="A1269" t="s">
        <v>81</v>
      </c>
      <c r="B1269" t="s">
        <v>82</v>
      </c>
      <c r="C1269" t="s">
        <v>51</v>
      </c>
      <c r="D1269" t="s">
        <v>52</v>
      </c>
      <c r="E1269">
        <v>2020</v>
      </c>
      <c r="F1269" t="s">
        <v>90</v>
      </c>
      <c r="G1269" t="s">
        <v>91</v>
      </c>
      <c r="H1269">
        <v>1195.6337028324299</v>
      </c>
      <c r="I1269" s="9">
        <v>12.394662312549826</v>
      </c>
      <c r="J1269" t="s">
        <v>67</v>
      </c>
      <c r="K1269" t="s">
        <v>68</v>
      </c>
    </row>
    <row r="1270" spans="1:11" hidden="1" x14ac:dyDescent="0.25">
      <c r="A1270" t="s">
        <v>81</v>
      </c>
      <c r="B1270" t="s">
        <v>82</v>
      </c>
      <c r="C1270" t="s">
        <v>51</v>
      </c>
      <c r="D1270" t="s">
        <v>52</v>
      </c>
      <c r="E1270">
        <v>2021</v>
      </c>
      <c r="F1270" t="s">
        <v>90</v>
      </c>
      <c r="G1270" t="s">
        <v>91</v>
      </c>
      <c r="H1270">
        <v>1333.3886543086801</v>
      </c>
      <c r="I1270" s="9">
        <v>137.7549514762502</v>
      </c>
      <c r="J1270" t="s">
        <v>67</v>
      </c>
      <c r="K1270" t="s">
        <v>68</v>
      </c>
    </row>
    <row r="1271" spans="1:11" hidden="1" x14ac:dyDescent="0.25">
      <c r="A1271" t="s">
        <v>81</v>
      </c>
      <c r="B1271" t="s">
        <v>82</v>
      </c>
      <c r="C1271" t="s">
        <v>51</v>
      </c>
      <c r="D1271" t="s">
        <v>52</v>
      </c>
      <c r="E1271">
        <v>2022</v>
      </c>
      <c r="F1271" t="s">
        <v>90</v>
      </c>
      <c r="G1271" t="s">
        <v>91</v>
      </c>
      <c r="H1271">
        <v>1365.95452044746</v>
      </c>
      <c r="I1271" s="9">
        <v>32.565866138779938</v>
      </c>
      <c r="J1271" t="s">
        <v>67</v>
      </c>
      <c r="K1271" t="s">
        <v>68</v>
      </c>
    </row>
    <row r="1272" spans="1:11" hidden="1" x14ac:dyDescent="0.25">
      <c r="A1272" t="s">
        <v>81</v>
      </c>
      <c r="B1272" t="s">
        <v>82</v>
      </c>
      <c r="C1272" t="s">
        <v>51</v>
      </c>
      <c r="D1272" t="s">
        <v>52</v>
      </c>
      <c r="E1272">
        <v>2023</v>
      </c>
      <c r="F1272" t="s">
        <v>90</v>
      </c>
      <c r="G1272" t="s">
        <v>91</v>
      </c>
      <c r="I1272" s="9"/>
      <c r="J1272" t="s">
        <v>67</v>
      </c>
      <c r="K1272" t="s">
        <v>68</v>
      </c>
    </row>
    <row r="1273" spans="1:11" hidden="1" x14ac:dyDescent="0.25">
      <c r="A1273" t="s">
        <v>81</v>
      </c>
      <c r="B1273" t="s">
        <v>82</v>
      </c>
      <c r="C1273" t="s">
        <v>51</v>
      </c>
      <c r="D1273" t="s">
        <v>52</v>
      </c>
      <c r="E1273">
        <v>2024</v>
      </c>
      <c r="F1273" t="s">
        <v>90</v>
      </c>
      <c r="G1273" t="s">
        <v>91</v>
      </c>
      <c r="I1273" s="9"/>
      <c r="J1273" t="s">
        <v>67</v>
      </c>
      <c r="K1273" t="s">
        <v>68</v>
      </c>
    </row>
    <row r="1274" spans="1:11" hidden="1" x14ac:dyDescent="0.25">
      <c r="A1274" t="s">
        <v>81</v>
      </c>
      <c r="B1274" t="s">
        <v>82</v>
      </c>
      <c r="C1274" t="s">
        <v>53</v>
      </c>
      <c r="D1274" t="s">
        <v>54</v>
      </c>
      <c r="E1274">
        <v>2019</v>
      </c>
      <c r="F1274" t="s">
        <v>90</v>
      </c>
      <c r="G1274" t="s">
        <v>91</v>
      </c>
      <c r="I1274" s="9"/>
      <c r="J1274" t="s">
        <v>67</v>
      </c>
      <c r="K1274" t="s">
        <v>68</v>
      </c>
    </row>
    <row r="1275" spans="1:11" hidden="1" x14ac:dyDescent="0.25">
      <c r="A1275" t="s">
        <v>81</v>
      </c>
      <c r="B1275" t="s">
        <v>82</v>
      </c>
      <c r="C1275" t="s">
        <v>53</v>
      </c>
      <c r="D1275" t="s">
        <v>54</v>
      </c>
      <c r="E1275">
        <v>2020</v>
      </c>
      <c r="F1275" t="s">
        <v>90</v>
      </c>
      <c r="G1275" t="s">
        <v>91</v>
      </c>
      <c r="I1275" s="9"/>
      <c r="J1275" t="s">
        <v>67</v>
      </c>
      <c r="K1275" t="s">
        <v>68</v>
      </c>
    </row>
    <row r="1276" spans="1:11" hidden="1" x14ac:dyDescent="0.25">
      <c r="A1276" t="s">
        <v>81</v>
      </c>
      <c r="B1276" t="s">
        <v>82</v>
      </c>
      <c r="C1276" t="s">
        <v>53</v>
      </c>
      <c r="D1276" t="s">
        <v>54</v>
      </c>
      <c r="E1276">
        <v>2021</v>
      </c>
      <c r="F1276" t="s">
        <v>90</v>
      </c>
      <c r="G1276" t="s">
        <v>91</v>
      </c>
      <c r="I1276" s="9"/>
      <c r="J1276" t="s">
        <v>67</v>
      </c>
      <c r="K1276" t="s">
        <v>68</v>
      </c>
    </row>
    <row r="1277" spans="1:11" hidden="1" x14ac:dyDescent="0.25">
      <c r="A1277" t="s">
        <v>81</v>
      </c>
      <c r="B1277" t="s">
        <v>82</v>
      </c>
      <c r="C1277" t="s">
        <v>53</v>
      </c>
      <c r="D1277" t="s">
        <v>54</v>
      </c>
      <c r="E1277">
        <v>2022</v>
      </c>
      <c r="F1277" t="s">
        <v>90</v>
      </c>
      <c r="G1277" t="s">
        <v>91</v>
      </c>
      <c r="I1277" s="9"/>
      <c r="J1277" t="s">
        <v>67</v>
      </c>
      <c r="K1277" t="s">
        <v>68</v>
      </c>
    </row>
    <row r="1278" spans="1:11" hidden="1" x14ac:dyDescent="0.25">
      <c r="A1278" t="s">
        <v>81</v>
      </c>
      <c r="B1278" t="s">
        <v>82</v>
      </c>
      <c r="C1278" t="s">
        <v>53</v>
      </c>
      <c r="D1278" t="s">
        <v>54</v>
      </c>
      <c r="E1278">
        <v>2023</v>
      </c>
      <c r="F1278" t="s">
        <v>90</v>
      </c>
      <c r="G1278" t="s">
        <v>91</v>
      </c>
      <c r="I1278" s="9"/>
      <c r="J1278" t="s">
        <v>67</v>
      </c>
      <c r="K1278" t="s">
        <v>68</v>
      </c>
    </row>
    <row r="1279" spans="1:11" hidden="1" x14ac:dyDescent="0.25">
      <c r="A1279" t="s">
        <v>81</v>
      </c>
      <c r="B1279" t="s">
        <v>82</v>
      </c>
      <c r="C1279" t="s">
        <v>53</v>
      </c>
      <c r="D1279" t="s">
        <v>54</v>
      </c>
      <c r="E1279">
        <v>2024</v>
      </c>
      <c r="F1279" t="s">
        <v>90</v>
      </c>
      <c r="G1279" t="s">
        <v>91</v>
      </c>
      <c r="I1279" s="9"/>
      <c r="J1279" t="s">
        <v>67</v>
      </c>
      <c r="K1279" t="s">
        <v>68</v>
      </c>
    </row>
    <row r="1280" spans="1:11" hidden="1" x14ac:dyDescent="0.25">
      <c r="A1280" t="s">
        <v>81</v>
      </c>
      <c r="B1280" t="s">
        <v>82</v>
      </c>
      <c r="C1280" t="s">
        <v>31</v>
      </c>
      <c r="D1280" t="s">
        <v>32</v>
      </c>
      <c r="E1280">
        <v>2019</v>
      </c>
      <c r="F1280" t="s">
        <v>90</v>
      </c>
      <c r="G1280" t="s">
        <v>91</v>
      </c>
      <c r="H1280">
        <v>6079.6068935661897</v>
      </c>
      <c r="I1280" s="9"/>
      <c r="J1280" t="s">
        <v>67</v>
      </c>
      <c r="K1280" t="s">
        <v>68</v>
      </c>
    </row>
    <row r="1281" spans="1:16" hidden="1" x14ac:dyDescent="0.25">
      <c r="A1281" t="s">
        <v>81</v>
      </c>
      <c r="B1281" t="s">
        <v>82</v>
      </c>
      <c r="C1281" t="s">
        <v>31</v>
      </c>
      <c r="D1281" t="s">
        <v>32</v>
      </c>
      <c r="E1281">
        <v>2020</v>
      </c>
      <c r="F1281" t="s">
        <v>90</v>
      </c>
      <c r="G1281" t="s">
        <v>91</v>
      </c>
      <c r="H1281">
        <v>6359.1645495865596</v>
      </c>
      <c r="I1281" s="9">
        <v>279.5576560203699</v>
      </c>
      <c r="J1281" t="s">
        <v>67</v>
      </c>
      <c r="K1281" t="s">
        <v>68</v>
      </c>
    </row>
    <row r="1282" spans="1:16" hidden="1" x14ac:dyDescent="0.25">
      <c r="A1282" t="s">
        <v>81</v>
      </c>
      <c r="B1282" t="s">
        <v>82</v>
      </c>
      <c r="C1282" t="s">
        <v>31</v>
      </c>
      <c r="D1282" t="s">
        <v>32</v>
      </c>
      <c r="E1282">
        <v>2021</v>
      </c>
      <c r="F1282" t="s">
        <v>90</v>
      </c>
      <c r="G1282" t="s">
        <v>91</v>
      </c>
      <c r="H1282">
        <v>6686.2473100523503</v>
      </c>
      <c r="I1282" s="9">
        <v>327.08276046579067</v>
      </c>
      <c r="J1282" t="s">
        <v>67</v>
      </c>
      <c r="K1282" t="s">
        <v>68</v>
      </c>
    </row>
    <row r="1283" spans="1:16" hidden="1" x14ac:dyDescent="0.25">
      <c r="A1283" t="s">
        <v>81</v>
      </c>
      <c r="B1283" t="s">
        <v>82</v>
      </c>
      <c r="C1283" t="s">
        <v>31</v>
      </c>
      <c r="D1283" t="s">
        <v>32</v>
      </c>
      <c r="E1283">
        <v>2022</v>
      </c>
      <c r="F1283" t="s">
        <v>90</v>
      </c>
      <c r="G1283" t="s">
        <v>91</v>
      </c>
      <c r="H1283">
        <v>7180.1286514631001</v>
      </c>
      <c r="I1283" s="9">
        <v>493.88134141074988</v>
      </c>
      <c r="J1283" t="s">
        <v>67</v>
      </c>
      <c r="K1283" t="s">
        <v>68</v>
      </c>
    </row>
    <row r="1284" spans="1:16" hidden="1" x14ac:dyDescent="0.25">
      <c r="A1284" t="s">
        <v>81</v>
      </c>
      <c r="B1284" t="s">
        <v>82</v>
      </c>
      <c r="C1284" t="s">
        <v>31</v>
      </c>
      <c r="D1284" t="s">
        <v>32</v>
      </c>
      <c r="E1284">
        <v>2023</v>
      </c>
      <c r="F1284" t="s">
        <v>90</v>
      </c>
      <c r="G1284" t="s">
        <v>91</v>
      </c>
      <c r="H1284">
        <v>7340.8773196476404</v>
      </c>
      <c r="I1284" s="9">
        <v>160.74866818454029</v>
      </c>
      <c r="J1284" t="s">
        <v>67</v>
      </c>
      <c r="K1284" t="s">
        <v>68</v>
      </c>
    </row>
    <row r="1285" spans="1:16" hidden="1" x14ac:dyDescent="0.25">
      <c r="A1285" t="s">
        <v>81</v>
      </c>
      <c r="B1285" t="s">
        <v>82</v>
      </c>
      <c r="C1285" t="s">
        <v>31</v>
      </c>
      <c r="D1285" t="s">
        <v>32</v>
      </c>
      <c r="E1285">
        <v>2024</v>
      </c>
      <c r="F1285" t="s">
        <v>90</v>
      </c>
      <c r="G1285" t="s">
        <v>91</v>
      </c>
      <c r="H1285">
        <v>7547.1974515852198</v>
      </c>
      <c r="I1285" s="9">
        <v>206.32013193757939</v>
      </c>
      <c r="J1285" t="s">
        <v>67</v>
      </c>
      <c r="K1285" t="s">
        <v>68</v>
      </c>
    </row>
    <row r="1286" spans="1:16" hidden="1" x14ac:dyDescent="0.25">
      <c r="A1286" t="s">
        <v>81</v>
      </c>
      <c r="B1286" t="s">
        <v>82</v>
      </c>
      <c r="C1286" t="s">
        <v>35</v>
      </c>
      <c r="D1286" t="s">
        <v>36</v>
      </c>
      <c r="E1286">
        <v>2019</v>
      </c>
      <c r="F1286" t="s">
        <v>90</v>
      </c>
      <c r="G1286" t="s">
        <v>91</v>
      </c>
      <c r="I1286" s="9"/>
      <c r="J1286" t="s">
        <v>67</v>
      </c>
      <c r="K1286" t="s">
        <v>68</v>
      </c>
    </row>
    <row r="1287" spans="1:16" hidden="1" x14ac:dyDescent="0.25">
      <c r="A1287" t="s">
        <v>81</v>
      </c>
      <c r="B1287" t="s">
        <v>82</v>
      </c>
      <c r="C1287" t="s">
        <v>35</v>
      </c>
      <c r="D1287" t="s">
        <v>36</v>
      </c>
      <c r="E1287">
        <v>2020</v>
      </c>
      <c r="F1287" t="s">
        <v>90</v>
      </c>
      <c r="G1287" t="s">
        <v>91</v>
      </c>
      <c r="I1287" s="9"/>
      <c r="J1287" t="s">
        <v>67</v>
      </c>
      <c r="K1287" t="s">
        <v>68</v>
      </c>
    </row>
    <row r="1288" spans="1:16" hidden="1" x14ac:dyDescent="0.25">
      <c r="A1288" t="s">
        <v>81</v>
      </c>
      <c r="B1288" t="s">
        <v>82</v>
      </c>
      <c r="C1288" t="s">
        <v>35</v>
      </c>
      <c r="D1288" t="s">
        <v>36</v>
      </c>
      <c r="E1288">
        <v>2021</v>
      </c>
      <c r="F1288" t="s">
        <v>90</v>
      </c>
      <c r="G1288" t="s">
        <v>91</v>
      </c>
      <c r="I1288" s="9"/>
      <c r="J1288" t="s">
        <v>67</v>
      </c>
      <c r="K1288" t="s">
        <v>68</v>
      </c>
    </row>
    <row r="1289" spans="1:16" hidden="1" x14ac:dyDescent="0.25">
      <c r="A1289" t="s">
        <v>81</v>
      </c>
      <c r="B1289" t="s">
        <v>82</v>
      </c>
      <c r="C1289" t="s">
        <v>35</v>
      </c>
      <c r="D1289" t="s">
        <v>36</v>
      </c>
      <c r="E1289">
        <v>2022</v>
      </c>
      <c r="F1289" t="s">
        <v>90</v>
      </c>
      <c r="G1289" t="s">
        <v>91</v>
      </c>
      <c r="I1289" s="9"/>
      <c r="J1289" t="s">
        <v>67</v>
      </c>
      <c r="K1289" t="s">
        <v>68</v>
      </c>
    </row>
    <row r="1290" spans="1:16" hidden="1" x14ac:dyDescent="0.25">
      <c r="A1290" t="s">
        <v>81</v>
      </c>
      <c r="B1290" t="s">
        <v>82</v>
      </c>
      <c r="C1290" t="s">
        <v>35</v>
      </c>
      <c r="D1290" t="s">
        <v>36</v>
      </c>
      <c r="E1290">
        <v>2023</v>
      </c>
      <c r="F1290" t="s">
        <v>90</v>
      </c>
      <c r="G1290" t="s">
        <v>91</v>
      </c>
      <c r="I1290" s="9"/>
      <c r="J1290" t="s">
        <v>67</v>
      </c>
      <c r="K1290" t="s">
        <v>68</v>
      </c>
    </row>
    <row r="1291" spans="1:16" hidden="1" x14ac:dyDescent="0.25">
      <c r="A1291" t="s">
        <v>81</v>
      </c>
      <c r="B1291" t="s">
        <v>82</v>
      </c>
      <c r="C1291" t="s">
        <v>35</v>
      </c>
      <c r="D1291" t="s">
        <v>36</v>
      </c>
      <c r="E1291">
        <v>2024</v>
      </c>
      <c r="F1291" t="s">
        <v>90</v>
      </c>
      <c r="G1291" t="s">
        <v>91</v>
      </c>
      <c r="I1291" s="9"/>
      <c r="J1291" t="s">
        <v>67</v>
      </c>
      <c r="K1291" t="s">
        <v>68</v>
      </c>
    </row>
    <row r="1292" spans="1:16" hidden="1" x14ac:dyDescent="0.25">
      <c r="A1292" t="s">
        <v>81</v>
      </c>
      <c r="B1292" t="s">
        <v>82</v>
      </c>
      <c r="C1292" t="s">
        <v>7</v>
      </c>
      <c r="D1292" t="s">
        <v>8</v>
      </c>
      <c r="E1292">
        <v>2019</v>
      </c>
      <c r="F1292" t="s">
        <v>90</v>
      </c>
      <c r="G1292" t="s">
        <v>91</v>
      </c>
      <c r="H1292">
        <v>1520.0813419404201</v>
      </c>
      <c r="I1292" s="9"/>
      <c r="J1292" t="s">
        <v>67</v>
      </c>
      <c r="K1292" t="s">
        <v>68</v>
      </c>
      <c r="O1292" t="s">
        <v>81</v>
      </c>
      <c r="P1292" t="s">
        <v>82</v>
      </c>
    </row>
    <row r="1293" spans="1:16" hidden="1" x14ac:dyDescent="0.25">
      <c r="A1293" t="s">
        <v>81</v>
      </c>
      <c r="B1293" t="s">
        <v>82</v>
      </c>
      <c r="C1293" t="s">
        <v>7</v>
      </c>
      <c r="D1293" t="s">
        <v>8</v>
      </c>
      <c r="E1293">
        <v>2020</v>
      </c>
      <c r="F1293" t="s">
        <v>90</v>
      </c>
      <c r="G1293" t="s">
        <v>91</v>
      </c>
      <c r="H1293">
        <v>1591.7930553972201</v>
      </c>
      <c r="I1293" s="9">
        <v>71.711713456799998</v>
      </c>
      <c r="J1293" t="s">
        <v>67</v>
      </c>
      <c r="K1293" t="s">
        <v>68</v>
      </c>
    </row>
    <row r="1294" spans="1:16" hidden="1" x14ac:dyDescent="0.25">
      <c r="A1294" t="s">
        <v>81</v>
      </c>
      <c r="B1294" t="s">
        <v>82</v>
      </c>
      <c r="C1294" t="s">
        <v>7</v>
      </c>
      <c r="D1294" t="s">
        <v>8</v>
      </c>
      <c r="E1294">
        <v>2021</v>
      </c>
      <c r="F1294" t="s">
        <v>90</v>
      </c>
      <c r="G1294" t="s">
        <v>91</v>
      </c>
      <c r="H1294">
        <v>1939.03053422317</v>
      </c>
      <c r="I1294" s="9">
        <v>347.23747882594989</v>
      </c>
      <c r="J1294" t="s">
        <v>67</v>
      </c>
      <c r="K1294" t="s">
        <v>68</v>
      </c>
    </row>
    <row r="1295" spans="1:16" hidden="1" x14ac:dyDescent="0.25">
      <c r="A1295" t="s">
        <v>81</v>
      </c>
      <c r="B1295" t="s">
        <v>82</v>
      </c>
      <c r="C1295" t="s">
        <v>7</v>
      </c>
      <c r="D1295" t="s">
        <v>8</v>
      </c>
      <c r="E1295">
        <v>2022</v>
      </c>
      <c r="F1295" t="s">
        <v>90</v>
      </c>
      <c r="G1295" t="s">
        <v>91</v>
      </c>
      <c r="H1295">
        <v>2118.6555588697602</v>
      </c>
      <c r="I1295" s="9">
        <v>179.62502464659019</v>
      </c>
      <c r="J1295" t="s">
        <v>67</v>
      </c>
      <c r="K1295" t="s">
        <v>68</v>
      </c>
    </row>
    <row r="1296" spans="1:16" hidden="1" x14ac:dyDescent="0.25">
      <c r="A1296" t="s">
        <v>81</v>
      </c>
      <c r="B1296" t="s">
        <v>82</v>
      </c>
      <c r="C1296" t="s">
        <v>7</v>
      </c>
      <c r="D1296" t="s">
        <v>8</v>
      </c>
      <c r="E1296">
        <v>2023</v>
      </c>
      <c r="F1296" t="s">
        <v>90</v>
      </c>
      <c r="G1296" t="s">
        <v>91</v>
      </c>
      <c r="H1296">
        <v>2272.2357512357798</v>
      </c>
      <c r="I1296" s="9">
        <v>153.58019236601967</v>
      </c>
      <c r="J1296" t="s">
        <v>67</v>
      </c>
      <c r="K1296" t="s">
        <v>68</v>
      </c>
    </row>
    <row r="1297" spans="1:11" hidden="1" x14ac:dyDescent="0.25">
      <c r="A1297" t="s">
        <v>81</v>
      </c>
      <c r="B1297" t="s">
        <v>82</v>
      </c>
      <c r="C1297" t="s">
        <v>7</v>
      </c>
      <c r="D1297" t="s">
        <v>8</v>
      </c>
      <c r="E1297">
        <v>2024</v>
      </c>
      <c r="F1297" t="s">
        <v>90</v>
      </c>
      <c r="G1297" t="s">
        <v>91</v>
      </c>
      <c r="H1297">
        <v>2573.0115816993198</v>
      </c>
      <c r="I1297" s="9">
        <v>300.77583046353993</v>
      </c>
      <c r="J1297" t="s">
        <v>67</v>
      </c>
      <c r="K1297" t="s">
        <v>68</v>
      </c>
    </row>
    <row r="1298" spans="1:11" hidden="1" x14ac:dyDescent="0.25">
      <c r="A1298" t="s">
        <v>81</v>
      </c>
      <c r="B1298" t="s">
        <v>82</v>
      </c>
      <c r="C1298" t="s">
        <v>37</v>
      </c>
      <c r="D1298" t="s">
        <v>38</v>
      </c>
      <c r="E1298">
        <v>2019</v>
      </c>
      <c r="F1298" t="s">
        <v>90</v>
      </c>
      <c r="G1298" t="s">
        <v>91</v>
      </c>
      <c r="H1298">
        <v>1504.4872316670501</v>
      </c>
      <c r="I1298" s="9"/>
      <c r="J1298" t="s">
        <v>67</v>
      </c>
      <c r="K1298" t="s">
        <v>68</v>
      </c>
    </row>
    <row r="1299" spans="1:11" hidden="1" x14ac:dyDescent="0.25">
      <c r="A1299" t="s">
        <v>81</v>
      </c>
      <c r="B1299" t="s">
        <v>82</v>
      </c>
      <c r="C1299" t="s">
        <v>37</v>
      </c>
      <c r="D1299" t="s">
        <v>38</v>
      </c>
      <c r="E1299">
        <v>2020</v>
      </c>
      <c r="F1299" t="s">
        <v>90</v>
      </c>
      <c r="G1299" t="s">
        <v>91</v>
      </c>
      <c r="H1299">
        <v>1587.37686223797</v>
      </c>
      <c r="I1299" s="9">
        <v>82.889630570919962</v>
      </c>
      <c r="J1299" t="s">
        <v>67</v>
      </c>
      <c r="K1299" t="s">
        <v>68</v>
      </c>
    </row>
    <row r="1300" spans="1:11" hidden="1" x14ac:dyDescent="0.25">
      <c r="A1300" t="s">
        <v>81</v>
      </c>
      <c r="B1300" t="s">
        <v>82</v>
      </c>
      <c r="C1300" t="s">
        <v>37</v>
      </c>
      <c r="D1300" t="s">
        <v>38</v>
      </c>
      <c r="E1300">
        <v>2021</v>
      </c>
      <c r="F1300" t="s">
        <v>90</v>
      </c>
      <c r="G1300" t="s">
        <v>91</v>
      </c>
      <c r="H1300">
        <v>1802.5618319755499</v>
      </c>
      <c r="I1300" s="9">
        <v>215.18496973757988</v>
      </c>
      <c r="J1300" t="s">
        <v>67</v>
      </c>
      <c r="K1300" t="s">
        <v>68</v>
      </c>
    </row>
    <row r="1301" spans="1:11" hidden="1" x14ac:dyDescent="0.25">
      <c r="A1301" t="s">
        <v>81</v>
      </c>
      <c r="B1301" t="s">
        <v>82</v>
      </c>
      <c r="C1301" t="s">
        <v>37</v>
      </c>
      <c r="D1301" t="s">
        <v>38</v>
      </c>
      <c r="E1301">
        <v>2022</v>
      </c>
      <c r="F1301" t="s">
        <v>90</v>
      </c>
      <c r="G1301" t="s">
        <v>91</v>
      </c>
      <c r="H1301">
        <v>2165.1939408798198</v>
      </c>
      <c r="I1301" s="9">
        <v>362.6321089042699</v>
      </c>
      <c r="J1301" t="s">
        <v>67</v>
      </c>
      <c r="K1301" t="s">
        <v>68</v>
      </c>
    </row>
    <row r="1302" spans="1:11" hidden="1" x14ac:dyDescent="0.25">
      <c r="A1302" t="s">
        <v>81</v>
      </c>
      <c r="B1302" t="s">
        <v>82</v>
      </c>
      <c r="C1302" t="s">
        <v>37</v>
      </c>
      <c r="D1302" t="s">
        <v>38</v>
      </c>
      <c r="E1302">
        <v>2023</v>
      </c>
      <c r="F1302" t="s">
        <v>90</v>
      </c>
      <c r="G1302" t="s">
        <v>91</v>
      </c>
      <c r="H1302">
        <v>2398.5335343913398</v>
      </c>
      <c r="I1302" s="9">
        <v>233.33959351151998</v>
      </c>
      <c r="J1302" t="s">
        <v>67</v>
      </c>
      <c r="K1302" t="s">
        <v>68</v>
      </c>
    </row>
    <row r="1303" spans="1:11" hidden="1" x14ac:dyDescent="0.25">
      <c r="A1303" t="s">
        <v>81</v>
      </c>
      <c r="B1303" t="s">
        <v>82</v>
      </c>
      <c r="C1303" t="s">
        <v>37</v>
      </c>
      <c r="D1303" t="s">
        <v>38</v>
      </c>
      <c r="E1303">
        <v>2024</v>
      </c>
      <c r="F1303" t="s">
        <v>90</v>
      </c>
      <c r="G1303" t="s">
        <v>91</v>
      </c>
      <c r="H1303">
        <v>2684.0073887451199</v>
      </c>
      <c r="I1303" s="9">
        <v>285.4738543537801</v>
      </c>
      <c r="J1303" t="s">
        <v>67</v>
      </c>
      <c r="K1303" t="s">
        <v>68</v>
      </c>
    </row>
    <row r="1304" spans="1:11" hidden="1" x14ac:dyDescent="0.25">
      <c r="A1304" t="s">
        <v>81</v>
      </c>
      <c r="B1304" t="s">
        <v>82</v>
      </c>
      <c r="C1304" t="s">
        <v>39</v>
      </c>
      <c r="D1304" t="s">
        <v>40</v>
      </c>
      <c r="E1304">
        <v>2019</v>
      </c>
      <c r="F1304" t="s">
        <v>90</v>
      </c>
      <c r="G1304" t="s">
        <v>91</v>
      </c>
      <c r="H1304">
        <v>4672.7742762358803</v>
      </c>
      <c r="I1304" s="9"/>
      <c r="J1304" t="s">
        <v>67</v>
      </c>
      <c r="K1304" t="s">
        <v>68</v>
      </c>
    </row>
    <row r="1305" spans="1:11" hidden="1" x14ac:dyDescent="0.25">
      <c r="A1305" t="s">
        <v>81</v>
      </c>
      <c r="B1305" t="s">
        <v>82</v>
      </c>
      <c r="C1305" t="s">
        <v>39</v>
      </c>
      <c r="D1305" t="s">
        <v>40</v>
      </c>
      <c r="E1305">
        <v>2020</v>
      </c>
      <c r="F1305" t="s">
        <v>90</v>
      </c>
      <c r="G1305" t="s">
        <v>91</v>
      </c>
      <c r="H1305">
        <v>5139.3268885441103</v>
      </c>
      <c r="I1305" s="9">
        <v>466.55261230822998</v>
      </c>
      <c r="J1305" t="s">
        <v>67</v>
      </c>
      <c r="K1305" t="s">
        <v>68</v>
      </c>
    </row>
    <row r="1306" spans="1:11" hidden="1" x14ac:dyDescent="0.25">
      <c r="A1306" t="s">
        <v>81</v>
      </c>
      <c r="B1306" t="s">
        <v>82</v>
      </c>
      <c r="C1306" t="s">
        <v>39</v>
      </c>
      <c r="D1306" t="s">
        <v>40</v>
      </c>
      <c r="E1306">
        <v>2021</v>
      </c>
      <c r="F1306" t="s">
        <v>90</v>
      </c>
      <c r="G1306" t="s">
        <v>91</v>
      </c>
      <c r="H1306">
        <v>5590.4374285221402</v>
      </c>
      <c r="I1306" s="9">
        <v>451.11053997802992</v>
      </c>
      <c r="J1306" t="s">
        <v>67</v>
      </c>
      <c r="K1306" t="s">
        <v>68</v>
      </c>
    </row>
    <row r="1307" spans="1:11" hidden="1" x14ac:dyDescent="0.25">
      <c r="A1307" t="s">
        <v>81</v>
      </c>
      <c r="B1307" t="s">
        <v>82</v>
      </c>
      <c r="C1307" t="s">
        <v>39</v>
      </c>
      <c r="D1307" t="s">
        <v>40</v>
      </c>
      <c r="E1307">
        <v>2022</v>
      </c>
      <c r="F1307" t="s">
        <v>90</v>
      </c>
      <c r="G1307" t="s">
        <v>91</v>
      </c>
      <c r="H1307">
        <v>6246.3684534419899</v>
      </c>
      <c r="I1307" s="9">
        <v>655.93102491984973</v>
      </c>
      <c r="J1307" t="s">
        <v>67</v>
      </c>
      <c r="K1307" t="s">
        <v>68</v>
      </c>
    </row>
    <row r="1308" spans="1:11" hidden="1" x14ac:dyDescent="0.25">
      <c r="A1308" t="s">
        <v>81</v>
      </c>
      <c r="B1308" t="s">
        <v>82</v>
      </c>
      <c r="C1308" t="s">
        <v>39</v>
      </c>
      <c r="D1308" t="s">
        <v>40</v>
      </c>
      <c r="E1308">
        <v>2023</v>
      </c>
      <c r="F1308" t="s">
        <v>90</v>
      </c>
      <c r="G1308" t="s">
        <v>91</v>
      </c>
      <c r="H1308">
        <v>6812.8327435086903</v>
      </c>
      <c r="I1308" s="9">
        <v>566.46429006670041</v>
      </c>
      <c r="J1308" t="s">
        <v>67</v>
      </c>
      <c r="K1308" t="s">
        <v>68</v>
      </c>
    </row>
    <row r="1309" spans="1:11" hidden="1" x14ac:dyDescent="0.25">
      <c r="A1309" t="s">
        <v>81</v>
      </c>
      <c r="B1309" t="s">
        <v>82</v>
      </c>
      <c r="C1309" t="s">
        <v>39</v>
      </c>
      <c r="D1309" t="s">
        <v>40</v>
      </c>
      <c r="E1309">
        <v>2024</v>
      </c>
      <c r="F1309" t="s">
        <v>90</v>
      </c>
      <c r="G1309" t="s">
        <v>91</v>
      </c>
      <c r="H1309">
        <v>7193.3397781106996</v>
      </c>
      <c r="I1309" s="9">
        <v>380.5070346020093</v>
      </c>
      <c r="J1309" t="s">
        <v>67</v>
      </c>
      <c r="K1309" t="s">
        <v>68</v>
      </c>
    </row>
    <row r="1310" spans="1:11" hidden="1" x14ac:dyDescent="0.25">
      <c r="A1310" t="s">
        <v>81</v>
      </c>
      <c r="B1310" t="s">
        <v>82</v>
      </c>
      <c r="C1310" t="s">
        <v>55</v>
      </c>
      <c r="D1310" t="s">
        <v>56</v>
      </c>
      <c r="E1310">
        <v>2019</v>
      </c>
      <c r="F1310" t="s">
        <v>90</v>
      </c>
      <c r="G1310" t="s">
        <v>91</v>
      </c>
      <c r="H1310">
        <v>1387.39804836127</v>
      </c>
      <c r="I1310" s="9"/>
      <c r="J1310" t="s">
        <v>67</v>
      </c>
      <c r="K1310" t="s">
        <v>68</v>
      </c>
    </row>
    <row r="1311" spans="1:11" hidden="1" x14ac:dyDescent="0.25">
      <c r="A1311" t="s">
        <v>81</v>
      </c>
      <c r="B1311" t="s">
        <v>82</v>
      </c>
      <c r="C1311" t="s">
        <v>55</v>
      </c>
      <c r="D1311" t="s">
        <v>56</v>
      </c>
      <c r="E1311">
        <v>2020</v>
      </c>
      <c r="F1311" t="s">
        <v>90</v>
      </c>
      <c r="G1311" t="s">
        <v>91</v>
      </c>
      <c r="H1311">
        <v>1540.7043425987599</v>
      </c>
      <c r="I1311" s="9">
        <v>153.30629423748996</v>
      </c>
      <c r="J1311" t="s">
        <v>67</v>
      </c>
      <c r="K1311" t="s">
        <v>68</v>
      </c>
    </row>
    <row r="1312" spans="1:11" hidden="1" x14ac:dyDescent="0.25">
      <c r="A1312" t="s">
        <v>81</v>
      </c>
      <c r="B1312" t="s">
        <v>82</v>
      </c>
      <c r="C1312" t="s">
        <v>55</v>
      </c>
      <c r="D1312" t="s">
        <v>56</v>
      </c>
      <c r="E1312">
        <v>2021</v>
      </c>
      <c r="F1312" t="s">
        <v>90</v>
      </c>
      <c r="G1312" t="s">
        <v>91</v>
      </c>
      <c r="H1312">
        <v>1416.1145096816599</v>
      </c>
      <c r="I1312" s="9">
        <v>-124.58983291710001</v>
      </c>
      <c r="J1312" t="s">
        <v>67</v>
      </c>
      <c r="K1312" t="s">
        <v>68</v>
      </c>
    </row>
    <row r="1313" spans="1:11" hidden="1" x14ac:dyDescent="0.25">
      <c r="A1313" t="s">
        <v>81</v>
      </c>
      <c r="B1313" t="s">
        <v>82</v>
      </c>
      <c r="C1313" t="s">
        <v>55</v>
      </c>
      <c r="D1313" t="s">
        <v>56</v>
      </c>
      <c r="E1313">
        <v>2022</v>
      </c>
      <c r="F1313" t="s">
        <v>90</v>
      </c>
      <c r="G1313" t="s">
        <v>91</v>
      </c>
      <c r="H1313">
        <v>1471.79212738155</v>
      </c>
      <c r="I1313" s="9">
        <v>55.677617699890106</v>
      </c>
      <c r="J1313" t="s">
        <v>67</v>
      </c>
      <c r="K1313" t="s">
        <v>68</v>
      </c>
    </row>
    <row r="1314" spans="1:11" hidden="1" x14ac:dyDescent="0.25">
      <c r="A1314" t="s">
        <v>81</v>
      </c>
      <c r="B1314" t="s">
        <v>82</v>
      </c>
      <c r="C1314" t="s">
        <v>55</v>
      </c>
      <c r="D1314" t="s">
        <v>56</v>
      </c>
      <c r="E1314">
        <v>2023</v>
      </c>
      <c r="F1314" t="s">
        <v>90</v>
      </c>
      <c r="G1314" t="s">
        <v>91</v>
      </c>
      <c r="H1314">
        <v>1577.8855496144499</v>
      </c>
      <c r="I1314" s="9">
        <v>106.09342223289991</v>
      </c>
      <c r="J1314" t="s">
        <v>67</v>
      </c>
      <c r="K1314" t="s">
        <v>68</v>
      </c>
    </row>
    <row r="1315" spans="1:11" hidden="1" x14ac:dyDescent="0.25">
      <c r="A1315" t="s">
        <v>81</v>
      </c>
      <c r="B1315" t="s">
        <v>82</v>
      </c>
      <c r="C1315" t="s">
        <v>55</v>
      </c>
      <c r="D1315" t="s">
        <v>56</v>
      </c>
      <c r="E1315">
        <v>2024</v>
      </c>
      <c r="F1315" t="s">
        <v>90</v>
      </c>
      <c r="G1315" t="s">
        <v>91</v>
      </c>
      <c r="I1315" s="9"/>
      <c r="J1315" t="s">
        <v>67</v>
      </c>
      <c r="K1315" t="s">
        <v>68</v>
      </c>
    </row>
    <row r="1316" spans="1:11" hidden="1" x14ac:dyDescent="0.25">
      <c r="A1316" t="s">
        <v>81</v>
      </c>
      <c r="B1316" t="s">
        <v>82</v>
      </c>
      <c r="C1316" t="s">
        <v>41</v>
      </c>
      <c r="D1316" t="s">
        <v>42</v>
      </c>
      <c r="E1316">
        <v>2019</v>
      </c>
      <c r="F1316" t="s">
        <v>90</v>
      </c>
      <c r="G1316" t="s">
        <v>91</v>
      </c>
      <c r="I1316" s="9"/>
      <c r="J1316" t="s">
        <v>67</v>
      </c>
      <c r="K1316" t="s">
        <v>68</v>
      </c>
    </row>
    <row r="1317" spans="1:11" hidden="1" x14ac:dyDescent="0.25">
      <c r="A1317" t="s">
        <v>81</v>
      </c>
      <c r="B1317" t="s">
        <v>82</v>
      </c>
      <c r="C1317" t="s">
        <v>41</v>
      </c>
      <c r="D1317" t="s">
        <v>42</v>
      </c>
      <c r="E1317">
        <v>2020</v>
      </c>
      <c r="F1317" t="s">
        <v>90</v>
      </c>
      <c r="G1317" t="s">
        <v>91</v>
      </c>
      <c r="I1317" s="9"/>
      <c r="J1317" t="s">
        <v>67</v>
      </c>
      <c r="K1317" t="s">
        <v>68</v>
      </c>
    </row>
    <row r="1318" spans="1:11" hidden="1" x14ac:dyDescent="0.25">
      <c r="A1318" t="s">
        <v>81</v>
      </c>
      <c r="B1318" t="s">
        <v>82</v>
      </c>
      <c r="C1318" t="s">
        <v>41</v>
      </c>
      <c r="D1318" t="s">
        <v>42</v>
      </c>
      <c r="E1318">
        <v>2021</v>
      </c>
      <c r="F1318" t="s">
        <v>90</v>
      </c>
      <c r="G1318" t="s">
        <v>91</v>
      </c>
      <c r="I1318" s="9"/>
      <c r="J1318" t="s">
        <v>67</v>
      </c>
      <c r="K1318" t="s">
        <v>68</v>
      </c>
    </row>
    <row r="1319" spans="1:11" hidden="1" x14ac:dyDescent="0.25">
      <c r="A1319" t="s">
        <v>81</v>
      </c>
      <c r="B1319" t="s">
        <v>82</v>
      </c>
      <c r="C1319" t="s">
        <v>41</v>
      </c>
      <c r="D1319" t="s">
        <v>42</v>
      </c>
      <c r="E1319">
        <v>2022</v>
      </c>
      <c r="F1319" t="s">
        <v>90</v>
      </c>
      <c r="G1319" t="s">
        <v>91</v>
      </c>
      <c r="I1319" s="9"/>
      <c r="J1319" t="s">
        <v>67</v>
      </c>
      <c r="K1319" t="s">
        <v>68</v>
      </c>
    </row>
    <row r="1320" spans="1:11" hidden="1" x14ac:dyDescent="0.25">
      <c r="A1320" t="s">
        <v>81</v>
      </c>
      <c r="B1320" t="s">
        <v>82</v>
      </c>
      <c r="C1320" t="s">
        <v>41</v>
      </c>
      <c r="D1320" t="s">
        <v>42</v>
      </c>
      <c r="E1320">
        <v>2023</v>
      </c>
      <c r="F1320" t="s">
        <v>90</v>
      </c>
      <c r="G1320" t="s">
        <v>91</v>
      </c>
      <c r="I1320" s="9"/>
      <c r="J1320" t="s">
        <v>67</v>
      </c>
      <c r="K1320" t="s">
        <v>68</v>
      </c>
    </row>
    <row r="1321" spans="1:11" hidden="1" x14ac:dyDescent="0.25">
      <c r="A1321" t="s">
        <v>81</v>
      </c>
      <c r="B1321" t="s">
        <v>82</v>
      </c>
      <c r="C1321" t="s">
        <v>41</v>
      </c>
      <c r="D1321" t="s">
        <v>42</v>
      </c>
      <c r="E1321">
        <v>2024</v>
      </c>
      <c r="F1321" t="s">
        <v>90</v>
      </c>
      <c r="G1321" t="s">
        <v>91</v>
      </c>
      <c r="I1321" s="9"/>
      <c r="J1321" t="s">
        <v>67</v>
      </c>
      <c r="K1321" t="s">
        <v>68</v>
      </c>
    </row>
    <row r="1322" spans="1:11" hidden="1" x14ac:dyDescent="0.25">
      <c r="A1322" t="s">
        <v>81</v>
      </c>
      <c r="B1322" t="s">
        <v>82</v>
      </c>
      <c r="C1322" t="s">
        <v>43</v>
      </c>
      <c r="D1322" t="s">
        <v>44</v>
      </c>
      <c r="E1322">
        <v>2019</v>
      </c>
      <c r="F1322" t="s">
        <v>90</v>
      </c>
      <c r="G1322" t="s">
        <v>91</v>
      </c>
      <c r="I1322" s="9"/>
      <c r="J1322" t="s">
        <v>67</v>
      </c>
      <c r="K1322" t="s">
        <v>68</v>
      </c>
    </row>
    <row r="1323" spans="1:11" hidden="1" x14ac:dyDescent="0.25">
      <c r="A1323" t="s">
        <v>81</v>
      </c>
      <c r="B1323" t="s">
        <v>82</v>
      </c>
      <c r="C1323" t="s">
        <v>43</v>
      </c>
      <c r="D1323" t="s">
        <v>44</v>
      </c>
      <c r="E1323">
        <v>2020</v>
      </c>
      <c r="F1323" t="s">
        <v>90</v>
      </c>
      <c r="G1323" t="s">
        <v>91</v>
      </c>
      <c r="I1323" s="9"/>
      <c r="J1323" t="s">
        <v>67</v>
      </c>
      <c r="K1323" t="s">
        <v>68</v>
      </c>
    </row>
    <row r="1324" spans="1:11" hidden="1" x14ac:dyDescent="0.25">
      <c r="A1324" t="s">
        <v>81</v>
      </c>
      <c r="B1324" t="s">
        <v>82</v>
      </c>
      <c r="C1324" t="s">
        <v>43</v>
      </c>
      <c r="D1324" t="s">
        <v>44</v>
      </c>
      <c r="E1324">
        <v>2021</v>
      </c>
      <c r="F1324" t="s">
        <v>90</v>
      </c>
      <c r="G1324" t="s">
        <v>91</v>
      </c>
      <c r="I1324" s="9"/>
      <c r="J1324" t="s">
        <v>67</v>
      </c>
      <c r="K1324" t="s">
        <v>68</v>
      </c>
    </row>
    <row r="1325" spans="1:11" hidden="1" x14ac:dyDescent="0.25">
      <c r="A1325" t="s">
        <v>81</v>
      </c>
      <c r="B1325" t="s">
        <v>82</v>
      </c>
      <c r="C1325" t="s">
        <v>43</v>
      </c>
      <c r="D1325" t="s">
        <v>44</v>
      </c>
      <c r="E1325">
        <v>2022</v>
      </c>
      <c r="F1325" t="s">
        <v>90</v>
      </c>
      <c r="G1325" t="s">
        <v>91</v>
      </c>
      <c r="I1325" s="9"/>
      <c r="J1325" t="s">
        <v>67</v>
      </c>
      <c r="K1325" t="s">
        <v>68</v>
      </c>
    </row>
    <row r="1326" spans="1:11" hidden="1" x14ac:dyDescent="0.25">
      <c r="A1326" t="s">
        <v>81</v>
      </c>
      <c r="B1326" t="s">
        <v>82</v>
      </c>
      <c r="C1326" t="s">
        <v>43</v>
      </c>
      <c r="D1326" t="s">
        <v>44</v>
      </c>
      <c r="E1326">
        <v>2023</v>
      </c>
      <c r="F1326" t="s">
        <v>90</v>
      </c>
      <c r="G1326" t="s">
        <v>91</v>
      </c>
      <c r="I1326" s="9"/>
      <c r="J1326" t="s">
        <v>67</v>
      </c>
      <c r="K1326" t="s">
        <v>68</v>
      </c>
    </row>
    <row r="1327" spans="1:11" hidden="1" x14ac:dyDescent="0.25">
      <c r="A1327" t="s">
        <v>81</v>
      </c>
      <c r="B1327" t="s">
        <v>82</v>
      </c>
      <c r="C1327" t="s">
        <v>43</v>
      </c>
      <c r="D1327" t="s">
        <v>44</v>
      </c>
      <c r="E1327">
        <v>2024</v>
      </c>
      <c r="F1327" t="s">
        <v>90</v>
      </c>
      <c r="G1327" t="s">
        <v>91</v>
      </c>
      <c r="I1327" s="9"/>
      <c r="J1327" t="s">
        <v>67</v>
      </c>
      <c r="K1327" t="s">
        <v>68</v>
      </c>
    </row>
    <row r="1328" spans="1:11" x14ac:dyDescent="0.25">
      <c r="A1328" t="s">
        <v>81</v>
      </c>
      <c r="B1328" t="s">
        <v>82</v>
      </c>
      <c r="C1328" t="s">
        <v>9</v>
      </c>
      <c r="D1328" t="s">
        <v>10</v>
      </c>
      <c r="E1328">
        <v>2019</v>
      </c>
      <c r="F1328" t="s">
        <v>92</v>
      </c>
      <c r="G1328" t="s">
        <v>93</v>
      </c>
      <c r="H1328">
        <v>4292.6428576450398</v>
      </c>
      <c r="I1328" s="9"/>
      <c r="J1328" t="s">
        <v>67</v>
      </c>
      <c r="K1328" t="s">
        <v>68</v>
      </c>
    </row>
    <row r="1329" spans="1:11" x14ac:dyDescent="0.25">
      <c r="A1329" t="s">
        <v>81</v>
      </c>
      <c r="B1329" t="s">
        <v>82</v>
      </c>
      <c r="C1329" t="s">
        <v>9</v>
      </c>
      <c r="D1329" t="s">
        <v>10</v>
      </c>
      <c r="E1329">
        <v>2020</v>
      </c>
      <c r="F1329" t="s">
        <v>92</v>
      </c>
      <c r="G1329" t="s">
        <v>93</v>
      </c>
      <c r="H1329">
        <v>8482.6871388682903</v>
      </c>
      <c r="I1329" s="9">
        <v>4190.0442812232504</v>
      </c>
      <c r="J1329" t="s">
        <v>67</v>
      </c>
      <c r="K1329" t="s">
        <v>68</v>
      </c>
    </row>
    <row r="1330" spans="1:11" x14ac:dyDescent="0.25">
      <c r="A1330" t="s">
        <v>81</v>
      </c>
      <c r="B1330" t="s">
        <v>82</v>
      </c>
      <c r="C1330" t="s">
        <v>9</v>
      </c>
      <c r="D1330" t="s">
        <v>10</v>
      </c>
      <c r="E1330">
        <v>2021</v>
      </c>
      <c r="F1330" t="s">
        <v>92</v>
      </c>
      <c r="G1330" t="s">
        <v>93</v>
      </c>
      <c r="H1330">
        <v>12985.119202665101</v>
      </c>
      <c r="I1330" s="9">
        <v>4502.4320637968103</v>
      </c>
      <c r="J1330" t="s">
        <v>67</v>
      </c>
      <c r="K1330" t="s">
        <v>68</v>
      </c>
    </row>
    <row r="1331" spans="1:11" x14ac:dyDescent="0.25">
      <c r="A1331" t="s">
        <v>81</v>
      </c>
      <c r="B1331" t="s">
        <v>82</v>
      </c>
      <c r="C1331" t="s">
        <v>9</v>
      </c>
      <c r="D1331" t="s">
        <v>10</v>
      </c>
      <c r="E1331">
        <v>2022</v>
      </c>
      <c r="F1331" t="s">
        <v>92</v>
      </c>
      <c r="G1331" t="s">
        <v>93</v>
      </c>
      <c r="H1331">
        <v>20543.5896547017</v>
      </c>
      <c r="I1331" s="9">
        <v>7558.4704520365995</v>
      </c>
      <c r="J1331" t="s">
        <v>67</v>
      </c>
      <c r="K1331" t="s">
        <v>68</v>
      </c>
    </row>
    <row r="1332" spans="1:11" x14ac:dyDescent="0.25">
      <c r="A1332" t="s">
        <v>81</v>
      </c>
      <c r="B1332" t="s">
        <v>82</v>
      </c>
      <c r="C1332" t="s">
        <v>9</v>
      </c>
      <c r="D1332" t="s">
        <v>10</v>
      </c>
      <c r="E1332">
        <v>2023</v>
      </c>
      <c r="F1332" t="s">
        <v>92</v>
      </c>
      <c r="G1332" t="s">
        <v>93</v>
      </c>
      <c r="H1332">
        <v>32909.791886305698</v>
      </c>
      <c r="I1332" s="9">
        <v>12366.202231603998</v>
      </c>
      <c r="J1332" t="s">
        <v>67</v>
      </c>
      <c r="K1332" t="s">
        <v>68</v>
      </c>
    </row>
    <row r="1333" spans="1:11" x14ac:dyDescent="0.25">
      <c r="A1333" t="s">
        <v>81</v>
      </c>
      <c r="B1333" t="s">
        <v>82</v>
      </c>
      <c r="C1333" t="s">
        <v>9</v>
      </c>
      <c r="D1333" t="s">
        <v>10</v>
      </c>
      <c r="E1333">
        <v>2024</v>
      </c>
      <c r="F1333" t="s">
        <v>92</v>
      </c>
      <c r="G1333" t="s">
        <v>93</v>
      </c>
      <c r="H1333">
        <v>58005.734621170603</v>
      </c>
      <c r="I1333" s="9">
        <v>25095.942734864904</v>
      </c>
      <c r="J1333" t="s">
        <v>67</v>
      </c>
      <c r="K1333" t="s">
        <v>68</v>
      </c>
    </row>
    <row r="1334" spans="1:11" x14ac:dyDescent="0.25">
      <c r="A1334" t="s">
        <v>81</v>
      </c>
      <c r="B1334" t="s">
        <v>82</v>
      </c>
      <c r="C1334" t="s">
        <v>11</v>
      </c>
      <c r="D1334" t="s">
        <v>12</v>
      </c>
      <c r="E1334">
        <v>2019</v>
      </c>
      <c r="F1334" t="s">
        <v>92</v>
      </c>
      <c r="G1334" t="s">
        <v>93</v>
      </c>
      <c r="I1334" s="9"/>
      <c r="J1334" t="s">
        <v>67</v>
      </c>
      <c r="K1334" t="s">
        <v>68</v>
      </c>
    </row>
    <row r="1335" spans="1:11" x14ac:dyDescent="0.25">
      <c r="A1335" t="s">
        <v>81</v>
      </c>
      <c r="B1335" t="s">
        <v>82</v>
      </c>
      <c r="C1335" t="s">
        <v>11</v>
      </c>
      <c r="D1335" t="s">
        <v>12</v>
      </c>
      <c r="E1335">
        <v>2020</v>
      </c>
      <c r="F1335" t="s">
        <v>92</v>
      </c>
      <c r="G1335" t="s">
        <v>93</v>
      </c>
      <c r="I1335" s="9"/>
      <c r="J1335" t="s">
        <v>67</v>
      </c>
      <c r="K1335" t="s">
        <v>68</v>
      </c>
    </row>
    <row r="1336" spans="1:11" x14ac:dyDescent="0.25">
      <c r="A1336" t="s">
        <v>81</v>
      </c>
      <c r="B1336" t="s">
        <v>82</v>
      </c>
      <c r="C1336" t="s">
        <v>11</v>
      </c>
      <c r="D1336" t="s">
        <v>12</v>
      </c>
      <c r="E1336">
        <v>2021</v>
      </c>
      <c r="F1336" t="s">
        <v>92</v>
      </c>
      <c r="G1336" t="s">
        <v>93</v>
      </c>
      <c r="I1336" s="9"/>
      <c r="J1336" t="s">
        <v>67</v>
      </c>
      <c r="K1336" t="s">
        <v>68</v>
      </c>
    </row>
    <row r="1337" spans="1:11" x14ac:dyDescent="0.25">
      <c r="A1337" t="s">
        <v>81</v>
      </c>
      <c r="B1337" t="s">
        <v>82</v>
      </c>
      <c r="C1337" t="s">
        <v>11</v>
      </c>
      <c r="D1337" t="s">
        <v>12</v>
      </c>
      <c r="E1337">
        <v>2022</v>
      </c>
      <c r="F1337" t="s">
        <v>92</v>
      </c>
      <c r="G1337" t="s">
        <v>93</v>
      </c>
      <c r="I1337" s="9"/>
      <c r="J1337" t="s">
        <v>67</v>
      </c>
      <c r="K1337" t="s">
        <v>68</v>
      </c>
    </row>
    <row r="1338" spans="1:11" x14ac:dyDescent="0.25">
      <c r="A1338" t="s">
        <v>81</v>
      </c>
      <c r="B1338" t="s">
        <v>82</v>
      </c>
      <c r="C1338" t="s">
        <v>11</v>
      </c>
      <c r="D1338" t="s">
        <v>12</v>
      </c>
      <c r="E1338">
        <v>2023</v>
      </c>
      <c r="F1338" t="s">
        <v>92</v>
      </c>
      <c r="G1338" t="s">
        <v>93</v>
      </c>
      <c r="I1338" s="9"/>
      <c r="J1338" t="s">
        <v>67</v>
      </c>
      <c r="K1338" t="s">
        <v>68</v>
      </c>
    </row>
    <row r="1339" spans="1:11" x14ac:dyDescent="0.25">
      <c r="A1339" t="s">
        <v>81</v>
      </c>
      <c r="B1339" t="s">
        <v>82</v>
      </c>
      <c r="C1339" t="s">
        <v>11</v>
      </c>
      <c r="D1339" t="s">
        <v>12</v>
      </c>
      <c r="E1339">
        <v>2024</v>
      </c>
      <c r="F1339" t="s">
        <v>92</v>
      </c>
      <c r="G1339" t="s">
        <v>93</v>
      </c>
      <c r="I1339" s="9"/>
      <c r="J1339" t="s">
        <v>67</v>
      </c>
      <c r="K1339" t="s">
        <v>68</v>
      </c>
    </row>
    <row r="1340" spans="1:11" x14ac:dyDescent="0.25">
      <c r="A1340" t="s">
        <v>81</v>
      </c>
      <c r="B1340" t="s">
        <v>82</v>
      </c>
      <c r="C1340" t="s">
        <v>47</v>
      </c>
      <c r="D1340" t="s">
        <v>48</v>
      </c>
      <c r="E1340">
        <v>2019</v>
      </c>
      <c r="F1340" t="s">
        <v>92</v>
      </c>
      <c r="G1340" t="s">
        <v>93</v>
      </c>
      <c r="I1340" s="9"/>
      <c r="J1340" t="s">
        <v>67</v>
      </c>
      <c r="K1340" t="s">
        <v>68</v>
      </c>
    </row>
    <row r="1341" spans="1:11" x14ac:dyDescent="0.25">
      <c r="A1341" t="s">
        <v>81</v>
      </c>
      <c r="B1341" t="s">
        <v>82</v>
      </c>
      <c r="C1341" t="s">
        <v>47</v>
      </c>
      <c r="D1341" t="s">
        <v>48</v>
      </c>
      <c r="E1341">
        <v>2020</v>
      </c>
      <c r="F1341" t="s">
        <v>92</v>
      </c>
      <c r="G1341" t="s">
        <v>93</v>
      </c>
      <c r="I1341" s="9"/>
      <c r="J1341" t="s">
        <v>67</v>
      </c>
      <c r="K1341" t="s">
        <v>68</v>
      </c>
    </row>
    <row r="1342" spans="1:11" x14ac:dyDescent="0.25">
      <c r="A1342" t="s">
        <v>81</v>
      </c>
      <c r="B1342" t="s">
        <v>82</v>
      </c>
      <c r="C1342" t="s">
        <v>47</v>
      </c>
      <c r="D1342" t="s">
        <v>48</v>
      </c>
      <c r="E1342">
        <v>2021</v>
      </c>
      <c r="F1342" t="s">
        <v>92</v>
      </c>
      <c r="G1342" t="s">
        <v>93</v>
      </c>
      <c r="H1342">
        <v>9447.0875241731701</v>
      </c>
      <c r="I1342" s="9"/>
      <c r="J1342" t="s">
        <v>67</v>
      </c>
      <c r="K1342" t="s">
        <v>68</v>
      </c>
    </row>
    <row r="1343" spans="1:11" x14ac:dyDescent="0.25">
      <c r="A1343" t="s">
        <v>81</v>
      </c>
      <c r="B1343" t="s">
        <v>82</v>
      </c>
      <c r="C1343" t="s">
        <v>47</v>
      </c>
      <c r="D1343" t="s">
        <v>48</v>
      </c>
      <c r="E1343">
        <v>2022</v>
      </c>
      <c r="F1343" t="s">
        <v>92</v>
      </c>
      <c r="G1343" t="s">
        <v>93</v>
      </c>
      <c r="H1343">
        <v>15824.1679952212</v>
      </c>
      <c r="I1343" s="9">
        <v>6377.0804710480297</v>
      </c>
      <c r="J1343" t="s">
        <v>67</v>
      </c>
      <c r="K1343" t="s">
        <v>68</v>
      </c>
    </row>
    <row r="1344" spans="1:11" x14ac:dyDescent="0.25">
      <c r="A1344" t="s">
        <v>81</v>
      </c>
      <c r="B1344" t="s">
        <v>82</v>
      </c>
      <c r="C1344" t="s">
        <v>47</v>
      </c>
      <c r="D1344" t="s">
        <v>48</v>
      </c>
      <c r="E1344">
        <v>2023</v>
      </c>
      <c r="F1344" t="s">
        <v>92</v>
      </c>
      <c r="G1344" t="s">
        <v>93</v>
      </c>
      <c r="H1344">
        <v>16129.6250780793</v>
      </c>
      <c r="I1344" s="9">
        <v>305.45708285809997</v>
      </c>
      <c r="J1344" t="s">
        <v>67</v>
      </c>
      <c r="K1344" t="s">
        <v>68</v>
      </c>
    </row>
    <row r="1345" spans="1:11" x14ac:dyDescent="0.25">
      <c r="A1345" t="s">
        <v>81</v>
      </c>
      <c r="B1345" t="s">
        <v>82</v>
      </c>
      <c r="C1345" t="s">
        <v>47</v>
      </c>
      <c r="D1345" t="s">
        <v>48</v>
      </c>
      <c r="E1345">
        <v>2024</v>
      </c>
      <c r="F1345" t="s">
        <v>92</v>
      </c>
      <c r="G1345" t="s">
        <v>93</v>
      </c>
      <c r="H1345">
        <v>21929.3847700263</v>
      </c>
      <c r="I1345" s="9">
        <v>5799.7596919469997</v>
      </c>
      <c r="J1345" t="s">
        <v>67</v>
      </c>
      <c r="K1345" t="s">
        <v>68</v>
      </c>
    </row>
    <row r="1346" spans="1:11" x14ac:dyDescent="0.25">
      <c r="A1346" t="s">
        <v>81</v>
      </c>
      <c r="B1346" t="s">
        <v>82</v>
      </c>
      <c r="C1346" t="s">
        <v>13</v>
      </c>
      <c r="D1346" t="s">
        <v>14</v>
      </c>
      <c r="E1346">
        <v>2019</v>
      </c>
      <c r="F1346" t="s">
        <v>92</v>
      </c>
      <c r="G1346" t="s">
        <v>93</v>
      </c>
      <c r="H1346">
        <v>331733.09929046902</v>
      </c>
      <c r="I1346" s="9"/>
      <c r="J1346" t="s">
        <v>67</v>
      </c>
      <c r="K1346" t="s">
        <v>68</v>
      </c>
    </row>
    <row r="1347" spans="1:11" x14ac:dyDescent="0.25">
      <c r="A1347" t="s">
        <v>81</v>
      </c>
      <c r="B1347" t="s">
        <v>82</v>
      </c>
      <c r="C1347" t="s">
        <v>13</v>
      </c>
      <c r="D1347" t="s">
        <v>14</v>
      </c>
      <c r="E1347">
        <v>2020</v>
      </c>
      <c r="F1347" t="s">
        <v>92</v>
      </c>
      <c r="G1347" t="s">
        <v>93</v>
      </c>
      <c r="H1347">
        <v>388694.346209571</v>
      </c>
      <c r="I1347" s="9">
        <v>56961.246919101977</v>
      </c>
      <c r="J1347" t="s">
        <v>67</v>
      </c>
      <c r="K1347" t="s">
        <v>68</v>
      </c>
    </row>
    <row r="1348" spans="1:11" x14ac:dyDescent="0.25">
      <c r="A1348" t="s">
        <v>81</v>
      </c>
      <c r="B1348" t="s">
        <v>82</v>
      </c>
      <c r="C1348" t="s">
        <v>13</v>
      </c>
      <c r="D1348" t="s">
        <v>14</v>
      </c>
      <c r="E1348">
        <v>2021</v>
      </c>
      <c r="F1348" t="s">
        <v>92</v>
      </c>
      <c r="G1348" t="s">
        <v>93</v>
      </c>
      <c r="H1348">
        <v>527936.21215824701</v>
      </c>
      <c r="I1348" s="9">
        <v>139241.86594867602</v>
      </c>
      <c r="J1348" t="s">
        <v>67</v>
      </c>
      <c r="K1348" t="s">
        <v>68</v>
      </c>
    </row>
    <row r="1349" spans="1:11" x14ac:dyDescent="0.25">
      <c r="A1349" t="s">
        <v>81</v>
      </c>
      <c r="B1349" t="s">
        <v>82</v>
      </c>
      <c r="C1349" t="s">
        <v>13</v>
      </c>
      <c r="D1349" t="s">
        <v>14</v>
      </c>
      <c r="E1349">
        <v>2022</v>
      </c>
      <c r="F1349" t="s">
        <v>92</v>
      </c>
      <c r="G1349" t="s">
        <v>93</v>
      </c>
      <c r="H1349">
        <v>657969.77471817995</v>
      </c>
      <c r="I1349" s="9">
        <v>130033.56255993294</v>
      </c>
      <c r="J1349" t="s">
        <v>67</v>
      </c>
      <c r="K1349" t="s">
        <v>68</v>
      </c>
    </row>
    <row r="1350" spans="1:11" x14ac:dyDescent="0.25">
      <c r="A1350" t="s">
        <v>81</v>
      </c>
      <c r="B1350" t="s">
        <v>82</v>
      </c>
      <c r="C1350" t="s">
        <v>13</v>
      </c>
      <c r="D1350" t="s">
        <v>14</v>
      </c>
      <c r="E1350">
        <v>2023</v>
      </c>
      <c r="F1350" t="s">
        <v>92</v>
      </c>
      <c r="G1350" t="s">
        <v>93</v>
      </c>
      <c r="H1350">
        <v>726579.80246037804</v>
      </c>
      <c r="I1350" s="9">
        <v>68610.027742198086</v>
      </c>
      <c r="J1350" t="s">
        <v>67</v>
      </c>
      <c r="K1350" t="s">
        <v>68</v>
      </c>
    </row>
    <row r="1351" spans="1:11" x14ac:dyDescent="0.25">
      <c r="A1351" t="s">
        <v>81</v>
      </c>
      <c r="B1351" t="s">
        <v>82</v>
      </c>
      <c r="C1351" t="s">
        <v>13</v>
      </c>
      <c r="D1351" t="s">
        <v>14</v>
      </c>
      <c r="E1351">
        <v>2024</v>
      </c>
      <c r="F1351" t="s">
        <v>92</v>
      </c>
      <c r="G1351" t="s">
        <v>93</v>
      </c>
      <c r="H1351">
        <v>833067.22217657894</v>
      </c>
      <c r="I1351" s="9">
        <v>106487.41971620091</v>
      </c>
      <c r="J1351" t="s">
        <v>67</v>
      </c>
      <c r="K1351" t="s">
        <v>68</v>
      </c>
    </row>
    <row r="1352" spans="1:11" x14ac:dyDescent="0.25">
      <c r="A1352" t="s">
        <v>81</v>
      </c>
      <c r="B1352" t="s">
        <v>82</v>
      </c>
      <c r="C1352" t="s">
        <v>15</v>
      </c>
      <c r="D1352" t="s">
        <v>16</v>
      </c>
      <c r="E1352">
        <v>2019</v>
      </c>
      <c r="F1352" t="s">
        <v>92</v>
      </c>
      <c r="G1352" t="s">
        <v>93</v>
      </c>
      <c r="I1352" s="9"/>
      <c r="J1352" t="s">
        <v>67</v>
      </c>
      <c r="K1352" t="s">
        <v>68</v>
      </c>
    </row>
    <row r="1353" spans="1:11" x14ac:dyDescent="0.25">
      <c r="A1353" t="s">
        <v>81</v>
      </c>
      <c r="B1353" t="s">
        <v>82</v>
      </c>
      <c r="C1353" t="s">
        <v>15</v>
      </c>
      <c r="D1353" t="s">
        <v>16</v>
      </c>
      <c r="E1353">
        <v>2020</v>
      </c>
      <c r="F1353" t="s">
        <v>92</v>
      </c>
      <c r="G1353" t="s">
        <v>93</v>
      </c>
      <c r="I1353" s="9"/>
      <c r="J1353" t="s">
        <v>67</v>
      </c>
      <c r="K1353" t="s">
        <v>68</v>
      </c>
    </row>
    <row r="1354" spans="1:11" x14ac:dyDescent="0.25">
      <c r="A1354" t="s">
        <v>81</v>
      </c>
      <c r="B1354" t="s">
        <v>82</v>
      </c>
      <c r="C1354" t="s">
        <v>15</v>
      </c>
      <c r="D1354" t="s">
        <v>16</v>
      </c>
      <c r="E1354">
        <v>2021</v>
      </c>
      <c r="F1354" t="s">
        <v>92</v>
      </c>
      <c r="G1354" t="s">
        <v>93</v>
      </c>
      <c r="I1354" s="9"/>
      <c r="J1354" t="s">
        <v>67</v>
      </c>
      <c r="K1354" t="s">
        <v>68</v>
      </c>
    </row>
    <row r="1355" spans="1:11" x14ac:dyDescent="0.25">
      <c r="A1355" t="s">
        <v>81</v>
      </c>
      <c r="B1355" t="s">
        <v>82</v>
      </c>
      <c r="C1355" t="s">
        <v>15</v>
      </c>
      <c r="D1355" t="s">
        <v>16</v>
      </c>
      <c r="E1355">
        <v>2022</v>
      </c>
      <c r="F1355" t="s">
        <v>92</v>
      </c>
      <c r="G1355" t="s">
        <v>93</v>
      </c>
      <c r="I1355" s="9"/>
      <c r="J1355" t="s">
        <v>67</v>
      </c>
      <c r="K1355" t="s">
        <v>68</v>
      </c>
    </row>
    <row r="1356" spans="1:11" x14ac:dyDescent="0.25">
      <c r="A1356" t="s">
        <v>81</v>
      </c>
      <c r="B1356" t="s">
        <v>82</v>
      </c>
      <c r="C1356" t="s">
        <v>15</v>
      </c>
      <c r="D1356" t="s">
        <v>16</v>
      </c>
      <c r="E1356">
        <v>2023</v>
      </c>
      <c r="F1356" t="s">
        <v>92</v>
      </c>
      <c r="G1356" t="s">
        <v>93</v>
      </c>
      <c r="I1356" s="9"/>
      <c r="J1356" t="s">
        <v>67</v>
      </c>
      <c r="K1356" t="s">
        <v>68</v>
      </c>
    </row>
    <row r="1357" spans="1:11" x14ac:dyDescent="0.25">
      <c r="A1357" t="s">
        <v>81</v>
      </c>
      <c r="B1357" t="s">
        <v>82</v>
      </c>
      <c r="C1357" t="s">
        <v>15</v>
      </c>
      <c r="D1357" t="s">
        <v>16</v>
      </c>
      <c r="E1357">
        <v>2024</v>
      </c>
      <c r="F1357" t="s">
        <v>92</v>
      </c>
      <c r="G1357" t="s">
        <v>93</v>
      </c>
      <c r="I1357" s="9"/>
      <c r="J1357" t="s">
        <v>67</v>
      </c>
      <c r="K1357" t="s">
        <v>68</v>
      </c>
    </row>
    <row r="1358" spans="1:11" x14ac:dyDescent="0.25">
      <c r="A1358" t="s">
        <v>81</v>
      </c>
      <c r="B1358" t="s">
        <v>82</v>
      </c>
      <c r="C1358" t="s">
        <v>17</v>
      </c>
      <c r="D1358" t="s">
        <v>18</v>
      </c>
      <c r="E1358">
        <v>2019</v>
      </c>
      <c r="F1358" t="s">
        <v>92</v>
      </c>
      <c r="G1358" t="s">
        <v>93</v>
      </c>
      <c r="I1358" s="9"/>
      <c r="J1358" t="s">
        <v>67</v>
      </c>
      <c r="K1358" t="s">
        <v>68</v>
      </c>
    </row>
    <row r="1359" spans="1:11" x14ac:dyDescent="0.25">
      <c r="A1359" t="s">
        <v>81</v>
      </c>
      <c r="B1359" t="s">
        <v>82</v>
      </c>
      <c r="C1359" t="s">
        <v>17</v>
      </c>
      <c r="D1359" t="s">
        <v>18</v>
      </c>
      <c r="E1359">
        <v>2020</v>
      </c>
      <c r="F1359" t="s">
        <v>92</v>
      </c>
      <c r="G1359" t="s">
        <v>93</v>
      </c>
      <c r="I1359" s="9"/>
      <c r="J1359" t="s">
        <v>67</v>
      </c>
      <c r="K1359" t="s">
        <v>68</v>
      </c>
    </row>
    <row r="1360" spans="1:11" x14ac:dyDescent="0.25">
      <c r="A1360" t="s">
        <v>81</v>
      </c>
      <c r="B1360" t="s">
        <v>82</v>
      </c>
      <c r="C1360" t="s">
        <v>17</v>
      </c>
      <c r="D1360" t="s">
        <v>18</v>
      </c>
      <c r="E1360">
        <v>2021</v>
      </c>
      <c r="F1360" t="s">
        <v>92</v>
      </c>
      <c r="G1360" t="s">
        <v>93</v>
      </c>
      <c r="I1360" s="9"/>
      <c r="J1360" t="s">
        <v>67</v>
      </c>
      <c r="K1360" t="s">
        <v>68</v>
      </c>
    </row>
    <row r="1361" spans="1:11" x14ac:dyDescent="0.25">
      <c r="A1361" t="s">
        <v>81</v>
      </c>
      <c r="B1361" t="s">
        <v>82</v>
      </c>
      <c r="C1361" t="s">
        <v>17</v>
      </c>
      <c r="D1361" t="s">
        <v>18</v>
      </c>
      <c r="E1361">
        <v>2022</v>
      </c>
      <c r="F1361" t="s">
        <v>92</v>
      </c>
      <c r="G1361" t="s">
        <v>93</v>
      </c>
      <c r="I1361" s="9"/>
      <c r="J1361" t="s">
        <v>67</v>
      </c>
      <c r="K1361" t="s">
        <v>68</v>
      </c>
    </row>
    <row r="1362" spans="1:11" x14ac:dyDescent="0.25">
      <c r="A1362" t="s">
        <v>81</v>
      </c>
      <c r="B1362" t="s">
        <v>82</v>
      </c>
      <c r="C1362" t="s">
        <v>17</v>
      </c>
      <c r="D1362" t="s">
        <v>18</v>
      </c>
      <c r="E1362">
        <v>2023</v>
      </c>
      <c r="F1362" t="s">
        <v>92</v>
      </c>
      <c r="G1362" t="s">
        <v>93</v>
      </c>
      <c r="I1362" s="9"/>
      <c r="J1362" t="s">
        <v>67</v>
      </c>
      <c r="K1362" t="s">
        <v>68</v>
      </c>
    </row>
    <row r="1363" spans="1:11" x14ac:dyDescent="0.25">
      <c r="A1363" t="s">
        <v>81</v>
      </c>
      <c r="B1363" t="s">
        <v>82</v>
      </c>
      <c r="C1363" t="s">
        <v>17</v>
      </c>
      <c r="D1363" t="s">
        <v>18</v>
      </c>
      <c r="E1363">
        <v>2024</v>
      </c>
      <c r="F1363" t="s">
        <v>92</v>
      </c>
      <c r="G1363" t="s">
        <v>93</v>
      </c>
      <c r="I1363" s="9"/>
      <c r="J1363" t="s">
        <v>67</v>
      </c>
      <c r="K1363" t="s">
        <v>68</v>
      </c>
    </row>
    <row r="1364" spans="1:11" x14ac:dyDescent="0.25">
      <c r="A1364" t="s">
        <v>81</v>
      </c>
      <c r="B1364" t="s">
        <v>82</v>
      </c>
      <c r="C1364" t="s">
        <v>19</v>
      </c>
      <c r="D1364" t="s">
        <v>20</v>
      </c>
      <c r="E1364">
        <v>2019</v>
      </c>
      <c r="F1364" t="s">
        <v>92</v>
      </c>
      <c r="G1364" t="s">
        <v>93</v>
      </c>
      <c r="H1364">
        <v>28820.038457459301</v>
      </c>
      <c r="I1364" s="9"/>
      <c r="J1364" t="s">
        <v>67</v>
      </c>
      <c r="K1364" t="s">
        <v>68</v>
      </c>
    </row>
    <row r="1365" spans="1:11" x14ac:dyDescent="0.25">
      <c r="A1365" t="s">
        <v>81</v>
      </c>
      <c r="B1365" t="s">
        <v>82</v>
      </c>
      <c r="C1365" t="s">
        <v>19</v>
      </c>
      <c r="D1365" t="s">
        <v>20</v>
      </c>
      <c r="E1365">
        <v>2020</v>
      </c>
      <c r="F1365" t="s">
        <v>92</v>
      </c>
      <c r="G1365" t="s">
        <v>93</v>
      </c>
      <c r="H1365">
        <v>32251.1010525899</v>
      </c>
      <c r="I1365" s="9">
        <v>3431.0625951305992</v>
      </c>
      <c r="J1365" t="s">
        <v>67</v>
      </c>
      <c r="K1365" t="s">
        <v>68</v>
      </c>
    </row>
    <row r="1366" spans="1:11" x14ac:dyDescent="0.25">
      <c r="A1366" t="s">
        <v>81</v>
      </c>
      <c r="B1366" t="s">
        <v>82</v>
      </c>
      <c r="C1366" t="s">
        <v>19</v>
      </c>
      <c r="D1366" t="s">
        <v>20</v>
      </c>
      <c r="E1366">
        <v>2021</v>
      </c>
      <c r="F1366" t="s">
        <v>92</v>
      </c>
      <c r="G1366" t="s">
        <v>93</v>
      </c>
      <c r="H1366">
        <v>35623.207351147998</v>
      </c>
      <c r="I1366" s="9">
        <v>3372.1062985580975</v>
      </c>
      <c r="J1366" t="s">
        <v>67</v>
      </c>
      <c r="K1366" t="s">
        <v>68</v>
      </c>
    </row>
    <row r="1367" spans="1:11" x14ac:dyDescent="0.25">
      <c r="A1367" t="s">
        <v>81</v>
      </c>
      <c r="B1367" t="s">
        <v>82</v>
      </c>
      <c r="C1367" t="s">
        <v>19</v>
      </c>
      <c r="D1367" t="s">
        <v>20</v>
      </c>
      <c r="E1367">
        <v>2022</v>
      </c>
      <c r="F1367" t="s">
        <v>92</v>
      </c>
      <c r="G1367" t="s">
        <v>93</v>
      </c>
      <c r="H1367">
        <v>35415.417535377303</v>
      </c>
      <c r="I1367" s="9">
        <v>-207.78981577069499</v>
      </c>
      <c r="J1367" t="s">
        <v>67</v>
      </c>
      <c r="K1367" t="s">
        <v>68</v>
      </c>
    </row>
    <row r="1368" spans="1:11" x14ac:dyDescent="0.25">
      <c r="A1368" t="s">
        <v>81</v>
      </c>
      <c r="B1368" t="s">
        <v>82</v>
      </c>
      <c r="C1368" t="s">
        <v>19</v>
      </c>
      <c r="D1368" t="s">
        <v>20</v>
      </c>
      <c r="E1368">
        <v>2023</v>
      </c>
      <c r="F1368" t="s">
        <v>92</v>
      </c>
      <c r="G1368" t="s">
        <v>93</v>
      </c>
      <c r="H1368">
        <v>35195.414797672798</v>
      </c>
      <c r="I1368" s="9">
        <v>-220.0027377045044</v>
      </c>
      <c r="J1368" t="s">
        <v>67</v>
      </c>
      <c r="K1368" t="s">
        <v>68</v>
      </c>
    </row>
    <row r="1369" spans="1:11" x14ac:dyDescent="0.25">
      <c r="A1369" t="s">
        <v>81</v>
      </c>
      <c r="B1369" t="s">
        <v>82</v>
      </c>
      <c r="C1369" t="s">
        <v>19</v>
      </c>
      <c r="D1369" t="s">
        <v>20</v>
      </c>
      <c r="E1369">
        <v>2024</v>
      </c>
      <c r="F1369" t="s">
        <v>92</v>
      </c>
      <c r="G1369" t="s">
        <v>93</v>
      </c>
      <c r="H1369">
        <v>34960.184545025302</v>
      </c>
      <c r="I1369" s="9">
        <v>-235.23025264749594</v>
      </c>
      <c r="J1369" t="s">
        <v>67</v>
      </c>
      <c r="K1369" t="s">
        <v>68</v>
      </c>
    </row>
    <row r="1370" spans="1:11" x14ac:dyDescent="0.25">
      <c r="A1370" t="s">
        <v>81</v>
      </c>
      <c r="B1370" t="s">
        <v>82</v>
      </c>
      <c r="C1370" t="s">
        <v>21</v>
      </c>
      <c r="D1370" t="s">
        <v>22</v>
      </c>
      <c r="E1370">
        <v>2019</v>
      </c>
      <c r="F1370" t="s">
        <v>92</v>
      </c>
      <c r="G1370" t="s">
        <v>93</v>
      </c>
      <c r="I1370" s="9"/>
      <c r="J1370" t="s">
        <v>67</v>
      </c>
      <c r="K1370" t="s">
        <v>68</v>
      </c>
    </row>
    <row r="1371" spans="1:11" x14ac:dyDescent="0.25">
      <c r="A1371" t="s">
        <v>81</v>
      </c>
      <c r="B1371" t="s">
        <v>82</v>
      </c>
      <c r="C1371" t="s">
        <v>21</v>
      </c>
      <c r="D1371" t="s">
        <v>22</v>
      </c>
      <c r="E1371">
        <v>2020</v>
      </c>
      <c r="F1371" t="s">
        <v>92</v>
      </c>
      <c r="G1371" t="s">
        <v>93</v>
      </c>
      <c r="I1371" s="9"/>
      <c r="J1371" t="s">
        <v>67</v>
      </c>
      <c r="K1371" t="s">
        <v>68</v>
      </c>
    </row>
    <row r="1372" spans="1:11" x14ac:dyDescent="0.25">
      <c r="A1372" t="s">
        <v>81</v>
      </c>
      <c r="B1372" t="s">
        <v>82</v>
      </c>
      <c r="C1372" t="s">
        <v>21</v>
      </c>
      <c r="D1372" t="s">
        <v>22</v>
      </c>
      <c r="E1372">
        <v>2021</v>
      </c>
      <c r="F1372" t="s">
        <v>92</v>
      </c>
      <c r="G1372" t="s">
        <v>93</v>
      </c>
      <c r="I1372" s="9"/>
      <c r="J1372" t="s">
        <v>67</v>
      </c>
      <c r="K1372" t="s">
        <v>68</v>
      </c>
    </row>
    <row r="1373" spans="1:11" x14ac:dyDescent="0.25">
      <c r="A1373" t="s">
        <v>81</v>
      </c>
      <c r="B1373" t="s">
        <v>82</v>
      </c>
      <c r="C1373" t="s">
        <v>21</v>
      </c>
      <c r="D1373" t="s">
        <v>22</v>
      </c>
      <c r="E1373">
        <v>2022</v>
      </c>
      <c r="F1373" t="s">
        <v>92</v>
      </c>
      <c r="G1373" t="s">
        <v>93</v>
      </c>
      <c r="I1373" s="9"/>
      <c r="J1373" t="s">
        <v>67</v>
      </c>
      <c r="K1373" t="s">
        <v>68</v>
      </c>
    </row>
    <row r="1374" spans="1:11" x14ac:dyDescent="0.25">
      <c r="A1374" t="s">
        <v>81</v>
      </c>
      <c r="B1374" t="s">
        <v>82</v>
      </c>
      <c r="C1374" t="s">
        <v>21</v>
      </c>
      <c r="D1374" t="s">
        <v>22</v>
      </c>
      <c r="E1374">
        <v>2023</v>
      </c>
      <c r="F1374" t="s">
        <v>92</v>
      </c>
      <c r="G1374" t="s">
        <v>93</v>
      </c>
      <c r="I1374" s="9"/>
      <c r="J1374" t="s">
        <v>67</v>
      </c>
      <c r="K1374" t="s">
        <v>68</v>
      </c>
    </row>
    <row r="1375" spans="1:11" x14ac:dyDescent="0.25">
      <c r="A1375" t="s">
        <v>81</v>
      </c>
      <c r="B1375" t="s">
        <v>82</v>
      </c>
      <c r="C1375" t="s">
        <v>21</v>
      </c>
      <c r="D1375" t="s">
        <v>22</v>
      </c>
      <c r="E1375">
        <v>2024</v>
      </c>
      <c r="F1375" t="s">
        <v>92</v>
      </c>
      <c r="G1375" t="s">
        <v>93</v>
      </c>
      <c r="I1375" s="9"/>
      <c r="J1375" t="s">
        <v>67</v>
      </c>
      <c r="K1375" t="s">
        <v>68</v>
      </c>
    </row>
    <row r="1376" spans="1:11" x14ac:dyDescent="0.25">
      <c r="A1376" t="s">
        <v>81</v>
      </c>
      <c r="B1376" t="s">
        <v>82</v>
      </c>
      <c r="C1376" t="s">
        <v>23</v>
      </c>
      <c r="D1376" t="s">
        <v>24</v>
      </c>
      <c r="E1376">
        <v>2019</v>
      </c>
      <c r="F1376" t="s">
        <v>92</v>
      </c>
      <c r="G1376" t="s">
        <v>93</v>
      </c>
      <c r="H1376">
        <v>6100.7473418718801</v>
      </c>
      <c r="I1376" s="9"/>
      <c r="J1376" t="s">
        <v>67</v>
      </c>
      <c r="K1376" t="s">
        <v>68</v>
      </c>
    </row>
    <row r="1377" spans="1:11" x14ac:dyDescent="0.25">
      <c r="A1377" t="s">
        <v>81</v>
      </c>
      <c r="B1377" t="s">
        <v>82</v>
      </c>
      <c r="C1377" t="s">
        <v>23</v>
      </c>
      <c r="D1377" t="s">
        <v>24</v>
      </c>
      <c r="E1377">
        <v>2020</v>
      </c>
      <c r="F1377" t="s">
        <v>92</v>
      </c>
      <c r="G1377" t="s">
        <v>93</v>
      </c>
      <c r="H1377">
        <v>13429.1926853037</v>
      </c>
      <c r="I1377" s="9">
        <v>7328.4453434318202</v>
      </c>
      <c r="J1377" t="s">
        <v>67</v>
      </c>
      <c r="K1377" t="s">
        <v>68</v>
      </c>
    </row>
    <row r="1378" spans="1:11" x14ac:dyDescent="0.25">
      <c r="A1378" t="s">
        <v>81</v>
      </c>
      <c r="B1378" t="s">
        <v>82</v>
      </c>
      <c r="C1378" t="s">
        <v>23</v>
      </c>
      <c r="D1378" t="s">
        <v>24</v>
      </c>
      <c r="E1378">
        <v>2021</v>
      </c>
      <c r="F1378" t="s">
        <v>92</v>
      </c>
      <c r="G1378" t="s">
        <v>93</v>
      </c>
      <c r="H1378">
        <v>27725.986307126601</v>
      </c>
      <c r="I1378" s="9">
        <v>14296.793621822901</v>
      </c>
      <c r="J1378" t="s">
        <v>67</v>
      </c>
      <c r="K1378" t="s">
        <v>68</v>
      </c>
    </row>
    <row r="1379" spans="1:11" x14ac:dyDescent="0.25">
      <c r="A1379" t="s">
        <v>81</v>
      </c>
      <c r="B1379" t="s">
        <v>82</v>
      </c>
      <c r="C1379" t="s">
        <v>23</v>
      </c>
      <c r="D1379" t="s">
        <v>24</v>
      </c>
      <c r="E1379">
        <v>2022</v>
      </c>
      <c r="F1379" t="s">
        <v>92</v>
      </c>
      <c r="G1379" t="s">
        <v>93</v>
      </c>
      <c r="H1379">
        <v>51563.894462299802</v>
      </c>
      <c r="I1379" s="9">
        <v>23837.908155173202</v>
      </c>
      <c r="J1379" t="s">
        <v>67</v>
      </c>
      <c r="K1379" t="s">
        <v>68</v>
      </c>
    </row>
    <row r="1380" spans="1:11" x14ac:dyDescent="0.25">
      <c r="A1380" t="s">
        <v>81</v>
      </c>
      <c r="B1380" t="s">
        <v>82</v>
      </c>
      <c r="C1380" t="s">
        <v>23</v>
      </c>
      <c r="D1380" t="s">
        <v>24</v>
      </c>
      <c r="E1380">
        <v>2023</v>
      </c>
      <c r="F1380" t="s">
        <v>92</v>
      </c>
      <c r="G1380" t="s">
        <v>93</v>
      </c>
      <c r="H1380">
        <v>78680.8964726415</v>
      </c>
      <c r="I1380" s="9">
        <v>27117.002010341697</v>
      </c>
      <c r="J1380" t="s">
        <v>67</v>
      </c>
      <c r="K1380" t="s">
        <v>68</v>
      </c>
    </row>
    <row r="1381" spans="1:11" x14ac:dyDescent="0.25">
      <c r="A1381" t="s">
        <v>81</v>
      </c>
      <c r="B1381" t="s">
        <v>82</v>
      </c>
      <c r="C1381" t="s">
        <v>23</v>
      </c>
      <c r="D1381" t="s">
        <v>24</v>
      </c>
      <c r="E1381">
        <v>2024</v>
      </c>
      <c r="F1381" t="s">
        <v>92</v>
      </c>
      <c r="G1381" t="s">
        <v>93</v>
      </c>
      <c r="H1381">
        <v>118650.73879278899</v>
      </c>
      <c r="I1381" s="9">
        <v>39969.842320147494</v>
      </c>
      <c r="J1381" t="s">
        <v>67</v>
      </c>
      <c r="K1381" t="s">
        <v>68</v>
      </c>
    </row>
    <row r="1382" spans="1:11" x14ac:dyDescent="0.25">
      <c r="A1382" t="s">
        <v>81</v>
      </c>
      <c r="B1382" t="s">
        <v>82</v>
      </c>
      <c r="C1382" t="s">
        <v>25</v>
      </c>
      <c r="D1382" t="s">
        <v>26</v>
      </c>
      <c r="E1382">
        <v>2019</v>
      </c>
      <c r="F1382" t="s">
        <v>92</v>
      </c>
      <c r="G1382" t="s">
        <v>93</v>
      </c>
      <c r="H1382">
        <v>17438.0787232896</v>
      </c>
      <c r="I1382" s="9"/>
      <c r="J1382" t="s">
        <v>67</v>
      </c>
      <c r="K1382" t="s">
        <v>68</v>
      </c>
    </row>
    <row r="1383" spans="1:11" x14ac:dyDescent="0.25">
      <c r="A1383" t="s">
        <v>81</v>
      </c>
      <c r="B1383" t="s">
        <v>82</v>
      </c>
      <c r="C1383" t="s">
        <v>25</v>
      </c>
      <c r="D1383" t="s">
        <v>26</v>
      </c>
      <c r="E1383">
        <v>2020</v>
      </c>
      <c r="F1383" t="s">
        <v>92</v>
      </c>
      <c r="G1383" t="s">
        <v>93</v>
      </c>
      <c r="H1383">
        <v>24330.233416246501</v>
      </c>
      <c r="I1383" s="9">
        <v>6892.1546929569013</v>
      </c>
      <c r="J1383" t="s">
        <v>67</v>
      </c>
      <c r="K1383" t="s">
        <v>68</v>
      </c>
    </row>
    <row r="1384" spans="1:11" x14ac:dyDescent="0.25">
      <c r="A1384" t="s">
        <v>81</v>
      </c>
      <c r="B1384" t="s">
        <v>82</v>
      </c>
      <c r="C1384" t="s">
        <v>25</v>
      </c>
      <c r="D1384" t="s">
        <v>26</v>
      </c>
      <c r="E1384">
        <v>2021</v>
      </c>
      <c r="F1384" t="s">
        <v>92</v>
      </c>
      <c r="G1384" t="s">
        <v>93</v>
      </c>
      <c r="H1384">
        <v>37732.457287218502</v>
      </c>
      <c r="I1384" s="9">
        <v>13402.223870972</v>
      </c>
      <c r="J1384" t="s">
        <v>67</v>
      </c>
      <c r="K1384" t="s">
        <v>68</v>
      </c>
    </row>
    <row r="1385" spans="1:11" x14ac:dyDescent="0.25">
      <c r="A1385" t="s">
        <v>81</v>
      </c>
      <c r="B1385" t="s">
        <v>82</v>
      </c>
      <c r="C1385" t="s">
        <v>25</v>
      </c>
      <c r="D1385" t="s">
        <v>26</v>
      </c>
      <c r="E1385">
        <v>2022</v>
      </c>
      <c r="F1385" t="s">
        <v>92</v>
      </c>
      <c r="G1385" t="s">
        <v>93</v>
      </c>
      <c r="H1385">
        <v>56462.432740995901</v>
      </c>
      <c r="I1385" s="9">
        <v>18729.975453777399</v>
      </c>
      <c r="J1385" t="s">
        <v>67</v>
      </c>
      <c r="K1385" t="s">
        <v>68</v>
      </c>
    </row>
    <row r="1386" spans="1:11" x14ac:dyDescent="0.25">
      <c r="A1386" t="s">
        <v>81</v>
      </c>
      <c r="B1386" t="s">
        <v>82</v>
      </c>
      <c r="C1386" t="s">
        <v>25</v>
      </c>
      <c r="D1386" t="s">
        <v>26</v>
      </c>
      <c r="E1386">
        <v>2023</v>
      </c>
      <c r="F1386" t="s">
        <v>92</v>
      </c>
      <c r="G1386" t="s">
        <v>93</v>
      </c>
      <c r="H1386">
        <v>76011.964301862798</v>
      </c>
      <c r="I1386" s="9">
        <v>19549.531560866897</v>
      </c>
      <c r="J1386" t="s">
        <v>67</v>
      </c>
      <c r="K1386" t="s">
        <v>68</v>
      </c>
    </row>
    <row r="1387" spans="1:11" x14ac:dyDescent="0.25">
      <c r="A1387" t="s">
        <v>81</v>
      </c>
      <c r="B1387" t="s">
        <v>82</v>
      </c>
      <c r="C1387" t="s">
        <v>25</v>
      </c>
      <c r="D1387" t="s">
        <v>26</v>
      </c>
      <c r="E1387">
        <v>2024</v>
      </c>
      <c r="F1387" t="s">
        <v>92</v>
      </c>
      <c r="G1387" t="s">
        <v>93</v>
      </c>
      <c r="H1387">
        <v>102941.232655282</v>
      </c>
      <c r="I1387" s="9">
        <v>26929.268353419204</v>
      </c>
      <c r="J1387" t="s">
        <v>67</v>
      </c>
      <c r="K1387" t="s">
        <v>68</v>
      </c>
    </row>
    <row r="1388" spans="1:11" x14ac:dyDescent="0.25">
      <c r="A1388" t="s">
        <v>81</v>
      </c>
      <c r="B1388" t="s">
        <v>82</v>
      </c>
      <c r="C1388" t="s">
        <v>27</v>
      </c>
      <c r="D1388" t="s">
        <v>28</v>
      </c>
      <c r="E1388">
        <v>2019</v>
      </c>
      <c r="F1388" t="s">
        <v>92</v>
      </c>
      <c r="G1388" t="s">
        <v>93</v>
      </c>
      <c r="I1388" s="9"/>
      <c r="J1388" t="s">
        <v>67</v>
      </c>
      <c r="K1388" t="s">
        <v>68</v>
      </c>
    </row>
    <row r="1389" spans="1:11" x14ac:dyDescent="0.25">
      <c r="A1389" t="s">
        <v>81</v>
      </c>
      <c r="B1389" t="s">
        <v>82</v>
      </c>
      <c r="C1389" t="s">
        <v>27</v>
      </c>
      <c r="D1389" t="s">
        <v>28</v>
      </c>
      <c r="E1389">
        <v>2020</v>
      </c>
      <c r="F1389" t="s">
        <v>92</v>
      </c>
      <c r="G1389" t="s">
        <v>93</v>
      </c>
      <c r="I1389" s="9"/>
      <c r="J1389" t="s">
        <v>67</v>
      </c>
      <c r="K1389" t="s">
        <v>68</v>
      </c>
    </row>
    <row r="1390" spans="1:11" x14ac:dyDescent="0.25">
      <c r="A1390" t="s">
        <v>81</v>
      </c>
      <c r="B1390" t="s">
        <v>82</v>
      </c>
      <c r="C1390" t="s">
        <v>27</v>
      </c>
      <c r="D1390" t="s">
        <v>28</v>
      </c>
      <c r="E1390">
        <v>2021</v>
      </c>
      <c r="F1390" t="s">
        <v>92</v>
      </c>
      <c r="G1390" t="s">
        <v>93</v>
      </c>
      <c r="I1390" s="9"/>
      <c r="J1390" t="s">
        <v>67</v>
      </c>
      <c r="K1390" t="s">
        <v>68</v>
      </c>
    </row>
    <row r="1391" spans="1:11" x14ac:dyDescent="0.25">
      <c r="A1391" t="s">
        <v>81</v>
      </c>
      <c r="B1391" t="s">
        <v>82</v>
      </c>
      <c r="C1391" t="s">
        <v>27</v>
      </c>
      <c r="D1391" t="s">
        <v>28</v>
      </c>
      <c r="E1391">
        <v>2022</v>
      </c>
      <c r="F1391" t="s">
        <v>92</v>
      </c>
      <c r="G1391" t="s">
        <v>93</v>
      </c>
      <c r="H1391">
        <v>14770.375399762001</v>
      </c>
      <c r="I1391" s="9"/>
      <c r="J1391" t="s">
        <v>67</v>
      </c>
      <c r="K1391" t="s">
        <v>68</v>
      </c>
    </row>
    <row r="1392" spans="1:11" x14ac:dyDescent="0.25">
      <c r="A1392" t="s">
        <v>81</v>
      </c>
      <c r="B1392" t="s">
        <v>82</v>
      </c>
      <c r="C1392" t="s">
        <v>27</v>
      </c>
      <c r="D1392" t="s">
        <v>28</v>
      </c>
      <c r="E1392">
        <v>2023</v>
      </c>
      <c r="F1392" t="s">
        <v>92</v>
      </c>
      <c r="G1392" t="s">
        <v>93</v>
      </c>
      <c r="H1392">
        <v>16015.049165861599</v>
      </c>
      <c r="I1392" s="9">
        <v>1244.6737660995987</v>
      </c>
      <c r="J1392" t="s">
        <v>67</v>
      </c>
      <c r="K1392" t="s">
        <v>68</v>
      </c>
    </row>
    <row r="1393" spans="1:11" x14ac:dyDescent="0.25">
      <c r="A1393" t="s">
        <v>81</v>
      </c>
      <c r="B1393" t="s">
        <v>82</v>
      </c>
      <c r="C1393" t="s">
        <v>27</v>
      </c>
      <c r="D1393" t="s">
        <v>28</v>
      </c>
      <c r="E1393">
        <v>2024</v>
      </c>
      <c r="F1393" t="s">
        <v>92</v>
      </c>
      <c r="G1393" t="s">
        <v>93</v>
      </c>
      <c r="H1393">
        <v>17782.745178370202</v>
      </c>
      <c r="I1393" s="9">
        <v>1767.6960125086025</v>
      </c>
      <c r="J1393" t="s">
        <v>67</v>
      </c>
      <c r="K1393" t="s">
        <v>68</v>
      </c>
    </row>
    <row r="1394" spans="1:11" x14ac:dyDescent="0.25">
      <c r="A1394" t="s">
        <v>81</v>
      </c>
      <c r="B1394" t="s">
        <v>82</v>
      </c>
      <c r="C1394" t="s">
        <v>29</v>
      </c>
      <c r="D1394" t="s">
        <v>30</v>
      </c>
      <c r="E1394">
        <v>2019</v>
      </c>
      <c r="F1394" t="s">
        <v>92</v>
      </c>
      <c r="G1394" t="s">
        <v>93</v>
      </c>
      <c r="I1394" s="9"/>
      <c r="J1394" t="s">
        <v>67</v>
      </c>
      <c r="K1394" t="s">
        <v>68</v>
      </c>
    </row>
    <row r="1395" spans="1:11" x14ac:dyDescent="0.25">
      <c r="A1395" t="s">
        <v>81</v>
      </c>
      <c r="B1395" t="s">
        <v>82</v>
      </c>
      <c r="C1395" t="s">
        <v>29</v>
      </c>
      <c r="D1395" t="s">
        <v>30</v>
      </c>
      <c r="E1395">
        <v>2020</v>
      </c>
      <c r="F1395" t="s">
        <v>92</v>
      </c>
      <c r="G1395" t="s">
        <v>93</v>
      </c>
      <c r="I1395" s="9"/>
      <c r="J1395" t="s">
        <v>67</v>
      </c>
      <c r="K1395" t="s">
        <v>68</v>
      </c>
    </row>
    <row r="1396" spans="1:11" x14ac:dyDescent="0.25">
      <c r="A1396" t="s">
        <v>81</v>
      </c>
      <c r="B1396" t="s">
        <v>82</v>
      </c>
      <c r="C1396" t="s">
        <v>29</v>
      </c>
      <c r="D1396" t="s">
        <v>30</v>
      </c>
      <c r="E1396">
        <v>2021</v>
      </c>
      <c r="F1396" t="s">
        <v>92</v>
      </c>
      <c r="G1396" t="s">
        <v>93</v>
      </c>
      <c r="I1396" s="9"/>
      <c r="J1396" t="s">
        <v>67</v>
      </c>
      <c r="K1396" t="s">
        <v>68</v>
      </c>
    </row>
    <row r="1397" spans="1:11" x14ac:dyDescent="0.25">
      <c r="A1397" t="s">
        <v>81</v>
      </c>
      <c r="B1397" t="s">
        <v>82</v>
      </c>
      <c r="C1397" t="s">
        <v>29</v>
      </c>
      <c r="D1397" t="s">
        <v>30</v>
      </c>
      <c r="E1397">
        <v>2022</v>
      </c>
      <c r="F1397" t="s">
        <v>92</v>
      </c>
      <c r="G1397" t="s">
        <v>93</v>
      </c>
      <c r="I1397" s="9"/>
      <c r="J1397" t="s">
        <v>67</v>
      </c>
      <c r="K1397" t="s">
        <v>68</v>
      </c>
    </row>
    <row r="1398" spans="1:11" x14ac:dyDescent="0.25">
      <c r="A1398" t="s">
        <v>81</v>
      </c>
      <c r="B1398" t="s">
        <v>82</v>
      </c>
      <c r="C1398" t="s">
        <v>29</v>
      </c>
      <c r="D1398" t="s">
        <v>30</v>
      </c>
      <c r="E1398">
        <v>2023</v>
      </c>
      <c r="F1398" t="s">
        <v>92</v>
      </c>
      <c r="G1398" t="s">
        <v>93</v>
      </c>
      <c r="I1398" s="9"/>
      <c r="J1398" t="s">
        <v>67</v>
      </c>
      <c r="K1398" t="s">
        <v>68</v>
      </c>
    </row>
    <row r="1399" spans="1:11" x14ac:dyDescent="0.25">
      <c r="A1399" t="s">
        <v>81</v>
      </c>
      <c r="B1399" t="s">
        <v>82</v>
      </c>
      <c r="C1399" t="s">
        <v>29</v>
      </c>
      <c r="D1399" t="s">
        <v>30</v>
      </c>
      <c r="E1399">
        <v>2024</v>
      </c>
      <c r="F1399" t="s">
        <v>92</v>
      </c>
      <c r="G1399" t="s">
        <v>93</v>
      </c>
      <c r="I1399" s="9"/>
      <c r="J1399" t="s">
        <v>67</v>
      </c>
      <c r="K1399" t="s">
        <v>68</v>
      </c>
    </row>
    <row r="1400" spans="1:11" x14ac:dyDescent="0.25">
      <c r="A1400" t="s">
        <v>81</v>
      </c>
      <c r="B1400" t="s">
        <v>82</v>
      </c>
      <c r="C1400" t="s">
        <v>49</v>
      </c>
      <c r="D1400" t="s">
        <v>50</v>
      </c>
      <c r="E1400">
        <v>2019</v>
      </c>
      <c r="F1400" t="s">
        <v>92</v>
      </c>
      <c r="G1400" t="s">
        <v>93</v>
      </c>
      <c r="I1400" s="9"/>
      <c r="J1400" t="s">
        <v>67</v>
      </c>
      <c r="K1400" t="s">
        <v>68</v>
      </c>
    </row>
    <row r="1401" spans="1:11" x14ac:dyDescent="0.25">
      <c r="A1401" t="s">
        <v>81</v>
      </c>
      <c r="B1401" t="s">
        <v>82</v>
      </c>
      <c r="C1401" t="s">
        <v>49</v>
      </c>
      <c r="D1401" t="s">
        <v>50</v>
      </c>
      <c r="E1401">
        <v>2020</v>
      </c>
      <c r="F1401" t="s">
        <v>92</v>
      </c>
      <c r="G1401" t="s">
        <v>93</v>
      </c>
      <c r="I1401" s="9"/>
      <c r="J1401" t="s">
        <v>67</v>
      </c>
      <c r="K1401" t="s">
        <v>68</v>
      </c>
    </row>
    <row r="1402" spans="1:11" x14ac:dyDescent="0.25">
      <c r="A1402" t="s">
        <v>81</v>
      </c>
      <c r="B1402" t="s">
        <v>82</v>
      </c>
      <c r="C1402" t="s">
        <v>49</v>
      </c>
      <c r="D1402" t="s">
        <v>50</v>
      </c>
      <c r="E1402">
        <v>2021</v>
      </c>
      <c r="F1402" t="s">
        <v>92</v>
      </c>
      <c r="G1402" t="s">
        <v>93</v>
      </c>
      <c r="I1402" s="9"/>
      <c r="J1402" t="s">
        <v>67</v>
      </c>
      <c r="K1402" t="s">
        <v>68</v>
      </c>
    </row>
    <row r="1403" spans="1:11" x14ac:dyDescent="0.25">
      <c r="A1403" t="s">
        <v>81</v>
      </c>
      <c r="B1403" t="s">
        <v>82</v>
      </c>
      <c r="C1403" t="s">
        <v>49</v>
      </c>
      <c r="D1403" t="s">
        <v>50</v>
      </c>
      <c r="E1403">
        <v>2022</v>
      </c>
      <c r="F1403" t="s">
        <v>92</v>
      </c>
      <c r="G1403" t="s">
        <v>93</v>
      </c>
      <c r="I1403" s="9"/>
      <c r="J1403" t="s">
        <v>67</v>
      </c>
      <c r="K1403" t="s">
        <v>68</v>
      </c>
    </row>
    <row r="1404" spans="1:11" x14ac:dyDescent="0.25">
      <c r="A1404" t="s">
        <v>81</v>
      </c>
      <c r="B1404" t="s">
        <v>82</v>
      </c>
      <c r="C1404" t="s">
        <v>49</v>
      </c>
      <c r="D1404" t="s">
        <v>50</v>
      </c>
      <c r="E1404">
        <v>2023</v>
      </c>
      <c r="F1404" t="s">
        <v>92</v>
      </c>
      <c r="G1404" t="s">
        <v>93</v>
      </c>
      <c r="I1404" s="9"/>
      <c r="J1404" t="s">
        <v>67</v>
      </c>
      <c r="K1404" t="s">
        <v>68</v>
      </c>
    </row>
    <row r="1405" spans="1:11" x14ac:dyDescent="0.25">
      <c r="A1405" t="s">
        <v>81</v>
      </c>
      <c r="B1405" t="s">
        <v>82</v>
      </c>
      <c r="C1405" t="s">
        <v>49</v>
      </c>
      <c r="D1405" t="s">
        <v>50</v>
      </c>
      <c r="E1405">
        <v>2024</v>
      </c>
      <c r="F1405" t="s">
        <v>92</v>
      </c>
      <c r="G1405" t="s">
        <v>93</v>
      </c>
      <c r="I1405" s="9"/>
      <c r="J1405" t="s">
        <v>67</v>
      </c>
      <c r="K1405" t="s">
        <v>68</v>
      </c>
    </row>
    <row r="1406" spans="1:11" x14ac:dyDescent="0.25">
      <c r="A1406" t="s">
        <v>81</v>
      </c>
      <c r="B1406" t="s">
        <v>82</v>
      </c>
      <c r="C1406" t="s">
        <v>33</v>
      </c>
      <c r="D1406" t="s">
        <v>34</v>
      </c>
      <c r="E1406">
        <v>2019</v>
      </c>
      <c r="F1406" t="s">
        <v>92</v>
      </c>
      <c r="G1406" t="s">
        <v>93</v>
      </c>
      <c r="H1406">
        <v>14423.214741606</v>
      </c>
      <c r="I1406" s="9"/>
      <c r="J1406" t="s">
        <v>67</v>
      </c>
      <c r="K1406" t="s">
        <v>68</v>
      </c>
    </row>
    <row r="1407" spans="1:11" x14ac:dyDescent="0.25">
      <c r="A1407" t="s">
        <v>81</v>
      </c>
      <c r="B1407" t="s">
        <v>82</v>
      </c>
      <c r="C1407" t="s">
        <v>33</v>
      </c>
      <c r="D1407" t="s">
        <v>34</v>
      </c>
      <c r="E1407">
        <v>2020</v>
      </c>
      <c r="F1407" t="s">
        <v>92</v>
      </c>
      <c r="G1407" t="s">
        <v>93</v>
      </c>
      <c r="H1407">
        <v>15451.2419210423</v>
      </c>
      <c r="I1407" s="9">
        <v>1028.0271794362998</v>
      </c>
      <c r="J1407" t="s">
        <v>67</v>
      </c>
      <c r="K1407" t="s">
        <v>68</v>
      </c>
    </row>
    <row r="1408" spans="1:11" x14ac:dyDescent="0.25">
      <c r="A1408" t="s">
        <v>81</v>
      </c>
      <c r="B1408" t="s">
        <v>82</v>
      </c>
      <c r="C1408" t="s">
        <v>33</v>
      </c>
      <c r="D1408" t="s">
        <v>34</v>
      </c>
      <c r="E1408">
        <v>2021</v>
      </c>
      <c r="F1408" t="s">
        <v>92</v>
      </c>
      <c r="G1408" t="s">
        <v>93</v>
      </c>
      <c r="H1408">
        <v>17927.2681293198</v>
      </c>
      <c r="I1408" s="9">
        <v>2476.0262082775007</v>
      </c>
      <c r="J1408" t="s">
        <v>67</v>
      </c>
      <c r="K1408" t="s">
        <v>68</v>
      </c>
    </row>
    <row r="1409" spans="1:11" x14ac:dyDescent="0.25">
      <c r="A1409" t="s">
        <v>81</v>
      </c>
      <c r="B1409" t="s">
        <v>82</v>
      </c>
      <c r="C1409" t="s">
        <v>33</v>
      </c>
      <c r="D1409" t="s">
        <v>34</v>
      </c>
      <c r="E1409">
        <v>2022</v>
      </c>
      <c r="F1409" t="s">
        <v>92</v>
      </c>
      <c r="G1409" t="s">
        <v>93</v>
      </c>
      <c r="H1409">
        <v>20816.219176376599</v>
      </c>
      <c r="I1409" s="9">
        <v>2888.9510470567984</v>
      </c>
      <c r="J1409" t="s">
        <v>67</v>
      </c>
      <c r="K1409" t="s">
        <v>68</v>
      </c>
    </row>
    <row r="1410" spans="1:11" x14ac:dyDescent="0.25">
      <c r="A1410" t="s">
        <v>81</v>
      </c>
      <c r="B1410" t="s">
        <v>82</v>
      </c>
      <c r="C1410" t="s">
        <v>33</v>
      </c>
      <c r="D1410" t="s">
        <v>34</v>
      </c>
      <c r="E1410">
        <v>2023</v>
      </c>
      <c r="F1410" t="s">
        <v>92</v>
      </c>
      <c r="G1410" t="s">
        <v>93</v>
      </c>
      <c r="H1410">
        <v>21975.248564744601</v>
      </c>
      <c r="I1410" s="9">
        <v>1159.0293883680024</v>
      </c>
      <c r="J1410" t="s">
        <v>67</v>
      </c>
      <c r="K1410" t="s">
        <v>68</v>
      </c>
    </row>
    <row r="1411" spans="1:11" x14ac:dyDescent="0.25">
      <c r="A1411" t="s">
        <v>81</v>
      </c>
      <c r="B1411" t="s">
        <v>82</v>
      </c>
      <c r="C1411" t="s">
        <v>33</v>
      </c>
      <c r="D1411" t="s">
        <v>34</v>
      </c>
      <c r="E1411">
        <v>2024</v>
      </c>
      <c r="F1411" t="s">
        <v>92</v>
      </c>
      <c r="G1411" t="s">
        <v>93</v>
      </c>
      <c r="H1411">
        <v>24887.794545957298</v>
      </c>
      <c r="I1411" s="9">
        <v>2912.5459812126974</v>
      </c>
      <c r="J1411" t="s">
        <v>67</v>
      </c>
      <c r="K1411" t="s">
        <v>68</v>
      </c>
    </row>
    <row r="1412" spans="1:11" x14ac:dyDescent="0.25">
      <c r="A1412" t="s">
        <v>81</v>
      </c>
      <c r="B1412" t="s">
        <v>82</v>
      </c>
      <c r="C1412" t="s">
        <v>51</v>
      </c>
      <c r="D1412" t="s">
        <v>52</v>
      </c>
      <c r="E1412">
        <v>2019</v>
      </c>
      <c r="F1412" t="s">
        <v>92</v>
      </c>
      <c r="G1412" t="s">
        <v>93</v>
      </c>
      <c r="I1412" s="9"/>
      <c r="J1412" t="s">
        <v>67</v>
      </c>
      <c r="K1412" t="s">
        <v>68</v>
      </c>
    </row>
    <row r="1413" spans="1:11" x14ac:dyDescent="0.25">
      <c r="A1413" t="s">
        <v>81</v>
      </c>
      <c r="B1413" t="s">
        <v>82</v>
      </c>
      <c r="C1413" t="s">
        <v>51</v>
      </c>
      <c r="D1413" t="s">
        <v>52</v>
      </c>
      <c r="E1413">
        <v>2020</v>
      </c>
      <c r="F1413" t="s">
        <v>92</v>
      </c>
      <c r="G1413" t="s">
        <v>93</v>
      </c>
      <c r="H1413">
        <v>58.188088109495297</v>
      </c>
      <c r="I1413" s="9"/>
      <c r="J1413" t="s">
        <v>67</v>
      </c>
      <c r="K1413" t="s">
        <v>68</v>
      </c>
    </row>
    <row r="1414" spans="1:11" x14ac:dyDescent="0.25">
      <c r="A1414" t="s">
        <v>81</v>
      </c>
      <c r="B1414" t="s">
        <v>82</v>
      </c>
      <c r="C1414" t="s">
        <v>51</v>
      </c>
      <c r="D1414" t="s">
        <v>52</v>
      </c>
      <c r="E1414">
        <v>2021</v>
      </c>
      <c r="F1414" t="s">
        <v>92</v>
      </c>
      <c r="G1414" t="s">
        <v>93</v>
      </c>
      <c r="H1414">
        <v>229.07007097840801</v>
      </c>
      <c r="I1414" s="9">
        <v>170.8819828689127</v>
      </c>
      <c r="J1414" t="s">
        <v>67</v>
      </c>
      <c r="K1414" t="s">
        <v>68</v>
      </c>
    </row>
    <row r="1415" spans="1:11" x14ac:dyDescent="0.25">
      <c r="A1415" t="s">
        <v>81</v>
      </c>
      <c r="B1415" t="s">
        <v>82</v>
      </c>
      <c r="C1415" t="s">
        <v>51</v>
      </c>
      <c r="D1415" t="s">
        <v>52</v>
      </c>
      <c r="E1415">
        <v>2022</v>
      </c>
      <c r="F1415" t="s">
        <v>92</v>
      </c>
      <c r="G1415" t="s">
        <v>93</v>
      </c>
      <c r="H1415">
        <v>1408.3964675407999</v>
      </c>
      <c r="I1415" s="9">
        <v>1179.3263965623919</v>
      </c>
      <c r="J1415" t="s">
        <v>67</v>
      </c>
      <c r="K1415" t="s">
        <v>68</v>
      </c>
    </row>
    <row r="1416" spans="1:11" x14ac:dyDescent="0.25">
      <c r="A1416" t="s">
        <v>81</v>
      </c>
      <c r="B1416" t="s">
        <v>82</v>
      </c>
      <c r="C1416" t="s">
        <v>51</v>
      </c>
      <c r="D1416" t="s">
        <v>52</v>
      </c>
      <c r="E1416">
        <v>2023</v>
      </c>
      <c r="F1416" t="s">
        <v>92</v>
      </c>
      <c r="G1416" t="s">
        <v>93</v>
      </c>
      <c r="I1416" s="9"/>
      <c r="J1416" t="s">
        <v>67</v>
      </c>
      <c r="K1416" t="s">
        <v>68</v>
      </c>
    </row>
    <row r="1417" spans="1:11" x14ac:dyDescent="0.25">
      <c r="A1417" t="s">
        <v>81</v>
      </c>
      <c r="B1417" t="s">
        <v>82</v>
      </c>
      <c r="C1417" t="s">
        <v>51</v>
      </c>
      <c r="D1417" t="s">
        <v>52</v>
      </c>
      <c r="E1417">
        <v>2024</v>
      </c>
      <c r="F1417" t="s">
        <v>92</v>
      </c>
      <c r="G1417" t="s">
        <v>93</v>
      </c>
      <c r="I1417" s="9"/>
      <c r="J1417" t="s">
        <v>67</v>
      </c>
      <c r="K1417" t="s">
        <v>68</v>
      </c>
    </row>
    <row r="1418" spans="1:11" x14ac:dyDescent="0.25">
      <c r="A1418" t="s">
        <v>81</v>
      </c>
      <c r="B1418" t="s">
        <v>82</v>
      </c>
      <c r="C1418" t="s">
        <v>53</v>
      </c>
      <c r="D1418" t="s">
        <v>54</v>
      </c>
      <c r="E1418">
        <v>2019</v>
      </c>
      <c r="F1418" t="s">
        <v>92</v>
      </c>
      <c r="G1418" t="s">
        <v>93</v>
      </c>
      <c r="I1418" s="9"/>
      <c r="J1418" t="s">
        <v>67</v>
      </c>
      <c r="K1418" t="s">
        <v>68</v>
      </c>
    </row>
    <row r="1419" spans="1:11" x14ac:dyDescent="0.25">
      <c r="A1419" t="s">
        <v>81</v>
      </c>
      <c r="B1419" t="s">
        <v>82</v>
      </c>
      <c r="C1419" t="s">
        <v>53</v>
      </c>
      <c r="D1419" t="s">
        <v>54</v>
      </c>
      <c r="E1419">
        <v>2020</v>
      </c>
      <c r="F1419" t="s">
        <v>92</v>
      </c>
      <c r="G1419" t="s">
        <v>93</v>
      </c>
      <c r="I1419" s="9"/>
      <c r="J1419" t="s">
        <v>67</v>
      </c>
      <c r="K1419" t="s">
        <v>68</v>
      </c>
    </row>
    <row r="1420" spans="1:11" x14ac:dyDescent="0.25">
      <c r="A1420" t="s">
        <v>81</v>
      </c>
      <c r="B1420" t="s">
        <v>82</v>
      </c>
      <c r="C1420" t="s">
        <v>53</v>
      </c>
      <c r="D1420" t="s">
        <v>54</v>
      </c>
      <c r="E1420">
        <v>2021</v>
      </c>
      <c r="F1420" t="s">
        <v>92</v>
      </c>
      <c r="G1420" t="s">
        <v>93</v>
      </c>
      <c r="I1420" s="9"/>
      <c r="J1420" t="s">
        <v>67</v>
      </c>
      <c r="K1420" t="s">
        <v>68</v>
      </c>
    </row>
    <row r="1421" spans="1:11" x14ac:dyDescent="0.25">
      <c r="A1421" t="s">
        <v>81</v>
      </c>
      <c r="B1421" t="s">
        <v>82</v>
      </c>
      <c r="C1421" t="s">
        <v>53</v>
      </c>
      <c r="D1421" t="s">
        <v>54</v>
      </c>
      <c r="E1421">
        <v>2022</v>
      </c>
      <c r="F1421" t="s">
        <v>92</v>
      </c>
      <c r="G1421" t="s">
        <v>93</v>
      </c>
      <c r="I1421" s="9"/>
      <c r="J1421" t="s">
        <v>67</v>
      </c>
      <c r="K1421" t="s">
        <v>68</v>
      </c>
    </row>
    <row r="1422" spans="1:11" x14ac:dyDescent="0.25">
      <c r="A1422" t="s">
        <v>81</v>
      </c>
      <c r="B1422" t="s">
        <v>82</v>
      </c>
      <c r="C1422" t="s">
        <v>53</v>
      </c>
      <c r="D1422" t="s">
        <v>54</v>
      </c>
      <c r="E1422">
        <v>2023</v>
      </c>
      <c r="F1422" t="s">
        <v>92</v>
      </c>
      <c r="G1422" t="s">
        <v>93</v>
      </c>
      <c r="I1422" s="9"/>
      <c r="J1422" t="s">
        <v>67</v>
      </c>
      <c r="K1422" t="s">
        <v>68</v>
      </c>
    </row>
    <row r="1423" spans="1:11" x14ac:dyDescent="0.25">
      <c r="A1423" t="s">
        <v>81</v>
      </c>
      <c r="B1423" t="s">
        <v>82</v>
      </c>
      <c r="C1423" t="s">
        <v>53</v>
      </c>
      <c r="D1423" t="s">
        <v>54</v>
      </c>
      <c r="E1423">
        <v>2024</v>
      </c>
      <c r="F1423" t="s">
        <v>92</v>
      </c>
      <c r="G1423" t="s">
        <v>93</v>
      </c>
      <c r="I1423" s="9"/>
      <c r="J1423" t="s">
        <v>67</v>
      </c>
      <c r="K1423" t="s">
        <v>68</v>
      </c>
    </row>
    <row r="1424" spans="1:11" x14ac:dyDescent="0.25">
      <c r="A1424" t="s">
        <v>81</v>
      </c>
      <c r="B1424" t="s">
        <v>82</v>
      </c>
      <c r="C1424" t="s">
        <v>31</v>
      </c>
      <c r="D1424" t="s">
        <v>32</v>
      </c>
      <c r="E1424">
        <v>2019</v>
      </c>
      <c r="F1424" t="s">
        <v>92</v>
      </c>
      <c r="G1424" t="s">
        <v>93</v>
      </c>
      <c r="H1424">
        <v>102407.630459908</v>
      </c>
      <c r="I1424" s="9"/>
      <c r="J1424" t="s">
        <v>67</v>
      </c>
      <c r="K1424" t="s">
        <v>68</v>
      </c>
    </row>
    <row r="1425" spans="1:11" x14ac:dyDescent="0.25">
      <c r="A1425" t="s">
        <v>81</v>
      </c>
      <c r="B1425" t="s">
        <v>82</v>
      </c>
      <c r="C1425" t="s">
        <v>31</v>
      </c>
      <c r="D1425" t="s">
        <v>32</v>
      </c>
      <c r="E1425">
        <v>2020</v>
      </c>
      <c r="F1425" t="s">
        <v>92</v>
      </c>
      <c r="G1425" t="s">
        <v>93</v>
      </c>
      <c r="H1425">
        <v>117939.94686505001</v>
      </c>
      <c r="I1425" s="9">
        <v>15532.316405142003</v>
      </c>
      <c r="J1425" t="s">
        <v>67</v>
      </c>
      <c r="K1425" t="s">
        <v>68</v>
      </c>
    </row>
    <row r="1426" spans="1:11" x14ac:dyDescent="0.25">
      <c r="A1426" t="s">
        <v>81</v>
      </c>
      <c r="B1426" t="s">
        <v>82</v>
      </c>
      <c r="C1426" t="s">
        <v>31</v>
      </c>
      <c r="D1426" t="s">
        <v>32</v>
      </c>
      <c r="E1426">
        <v>2021</v>
      </c>
      <c r="F1426" t="s">
        <v>92</v>
      </c>
      <c r="G1426" t="s">
        <v>93</v>
      </c>
      <c r="H1426">
        <v>138459.9986772</v>
      </c>
      <c r="I1426" s="9">
        <v>20520.051812149992</v>
      </c>
      <c r="J1426" t="s">
        <v>67</v>
      </c>
      <c r="K1426" t="s">
        <v>68</v>
      </c>
    </row>
    <row r="1427" spans="1:11" x14ac:dyDescent="0.25">
      <c r="A1427" t="s">
        <v>81</v>
      </c>
      <c r="B1427" t="s">
        <v>82</v>
      </c>
      <c r="C1427" t="s">
        <v>31</v>
      </c>
      <c r="D1427" t="s">
        <v>32</v>
      </c>
      <c r="E1427">
        <v>2022</v>
      </c>
      <c r="F1427" t="s">
        <v>92</v>
      </c>
      <c r="G1427" t="s">
        <v>93</v>
      </c>
      <c r="H1427">
        <v>157179.272279989</v>
      </c>
      <c r="I1427" s="9">
        <v>18719.273602789006</v>
      </c>
      <c r="J1427" t="s">
        <v>67</v>
      </c>
      <c r="K1427" t="s">
        <v>68</v>
      </c>
    </row>
    <row r="1428" spans="1:11" x14ac:dyDescent="0.25">
      <c r="A1428" t="s">
        <v>81</v>
      </c>
      <c r="B1428" t="s">
        <v>82</v>
      </c>
      <c r="C1428" t="s">
        <v>31</v>
      </c>
      <c r="D1428" t="s">
        <v>32</v>
      </c>
      <c r="E1428">
        <v>2023</v>
      </c>
      <c r="F1428" t="s">
        <v>92</v>
      </c>
      <c r="G1428" t="s">
        <v>93</v>
      </c>
      <c r="H1428">
        <v>179584.038165637</v>
      </c>
      <c r="I1428" s="9">
        <v>22404.765885647997</v>
      </c>
      <c r="J1428" t="s">
        <v>67</v>
      </c>
      <c r="K1428" t="s">
        <v>68</v>
      </c>
    </row>
    <row r="1429" spans="1:11" x14ac:dyDescent="0.25">
      <c r="A1429" t="s">
        <v>81</v>
      </c>
      <c r="B1429" t="s">
        <v>82</v>
      </c>
      <c r="C1429" t="s">
        <v>31</v>
      </c>
      <c r="D1429" t="s">
        <v>32</v>
      </c>
      <c r="E1429">
        <v>2024</v>
      </c>
      <c r="F1429" t="s">
        <v>92</v>
      </c>
      <c r="G1429" t="s">
        <v>93</v>
      </c>
      <c r="H1429">
        <v>201730.19942894299</v>
      </c>
      <c r="I1429" s="9">
        <v>22146.161263305985</v>
      </c>
      <c r="J1429" t="s">
        <v>67</v>
      </c>
      <c r="K1429" t="s">
        <v>68</v>
      </c>
    </row>
    <row r="1430" spans="1:11" x14ac:dyDescent="0.25">
      <c r="A1430" t="s">
        <v>81</v>
      </c>
      <c r="B1430" t="s">
        <v>82</v>
      </c>
      <c r="C1430" t="s">
        <v>35</v>
      </c>
      <c r="D1430" t="s">
        <v>36</v>
      </c>
      <c r="E1430">
        <v>2019</v>
      </c>
      <c r="F1430" t="s">
        <v>92</v>
      </c>
      <c r="G1430" t="s">
        <v>93</v>
      </c>
      <c r="H1430">
        <v>101871.597044872</v>
      </c>
      <c r="I1430" s="9"/>
      <c r="J1430" t="s">
        <v>67</v>
      </c>
      <c r="K1430" t="s">
        <v>68</v>
      </c>
    </row>
    <row r="1431" spans="1:11" x14ac:dyDescent="0.25">
      <c r="A1431" t="s">
        <v>81</v>
      </c>
      <c r="B1431" t="s">
        <v>82</v>
      </c>
      <c r="C1431" t="s">
        <v>35</v>
      </c>
      <c r="D1431" t="s">
        <v>36</v>
      </c>
      <c r="E1431">
        <v>2020</v>
      </c>
      <c r="F1431" t="s">
        <v>92</v>
      </c>
      <c r="G1431" t="s">
        <v>93</v>
      </c>
      <c r="H1431">
        <v>217410.90152441201</v>
      </c>
      <c r="I1431" s="9">
        <v>115539.30447954001</v>
      </c>
      <c r="J1431" t="s">
        <v>67</v>
      </c>
      <c r="K1431" t="s">
        <v>68</v>
      </c>
    </row>
    <row r="1432" spans="1:11" x14ac:dyDescent="0.25">
      <c r="A1432" t="s">
        <v>81</v>
      </c>
      <c r="B1432" t="s">
        <v>82</v>
      </c>
      <c r="C1432" t="s">
        <v>35</v>
      </c>
      <c r="D1432" t="s">
        <v>36</v>
      </c>
      <c r="E1432">
        <v>2021</v>
      </c>
      <c r="F1432" t="s">
        <v>92</v>
      </c>
      <c r="G1432" t="s">
        <v>93</v>
      </c>
      <c r="H1432">
        <v>277268.27447823802</v>
      </c>
      <c r="I1432" s="9">
        <v>59857.372953826009</v>
      </c>
      <c r="J1432" t="s">
        <v>67</v>
      </c>
      <c r="K1432" t="s">
        <v>68</v>
      </c>
    </row>
    <row r="1433" spans="1:11" x14ac:dyDescent="0.25">
      <c r="A1433" t="s">
        <v>81</v>
      </c>
      <c r="B1433" t="s">
        <v>82</v>
      </c>
      <c r="C1433" t="s">
        <v>35</v>
      </c>
      <c r="D1433" t="s">
        <v>36</v>
      </c>
      <c r="E1433">
        <v>2022</v>
      </c>
      <c r="F1433" t="s">
        <v>92</v>
      </c>
      <c r="G1433" t="s">
        <v>93</v>
      </c>
      <c r="H1433">
        <v>312890.58459291601</v>
      </c>
      <c r="I1433" s="9">
        <v>35622.310114677995</v>
      </c>
      <c r="J1433" t="s">
        <v>67</v>
      </c>
      <c r="K1433" t="s">
        <v>68</v>
      </c>
    </row>
    <row r="1434" spans="1:11" x14ac:dyDescent="0.25">
      <c r="A1434" t="s">
        <v>81</v>
      </c>
      <c r="B1434" t="s">
        <v>82</v>
      </c>
      <c r="C1434" t="s">
        <v>35</v>
      </c>
      <c r="D1434" t="s">
        <v>36</v>
      </c>
      <c r="E1434">
        <v>2023</v>
      </c>
      <c r="F1434" t="s">
        <v>92</v>
      </c>
      <c r="G1434" t="s">
        <v>93</v>
      </c>
      <c r="H1434">
        <v>379621.76622118102</v>
      </c>
      <c r="I1434" s="9">
        <v>66731.181628265011</v>
      </c>
      <c r="J1434" t="s">
        <v>67</v>
      </c>
      <c r="K1434" t="s">
        <v>68</v>
      </c>
    </row>
    <row r="1435" spans="1:11" x14ac:dyDescent="0.25">
      <c r="A1435" t="s">
        <v>81</v>
      </c>
      <c r="B1435" t="s">
        <v>82</v>
      </c>
      <c r="C1435" t="s">
        <v>35</v>
      </c>
      <c r="D1435" t="s">
        <v>36</v>
      </c>
      <c r="E1435">
        <v>2024</v>
      </c>
      <c r="F1435" t="s">
        <v>92</v>
      </c>
      <c r="G1435" t="s">
        <v>93</v>
      </c>
      <c r="H1435">
        <v>472428.330964202</v>
      </c>
      <c r="I1435" s="9">
        <v>92806.564743020979</v>
      </c>
      <c r="J1435" t="s">
        <v>67</v>
      </c>
      <c r="K1435" t="s">
        <v>68</v>
      </c>
    </row>
    <row r="1436" spans="1:11" x14ac:dyDescent="0.25">
      <c r="A1436" t="s">
        <v>81</v>
      </c>
      <c r="B1436" t="s">
        <v>82</v>
      </c>
      <c r="C1436" t="s">
        <v>7</v>
      </c>
      <c r="D1436" t="s">
        <v>8</v>
      </c>
      <c r="E1436">
        <v>2019</v>
      </c>
      <c r="F1436" t="s">
        <v>92</v>
      </c>
      <c r="G1436" t="s">
        <v>93</v>
      </c>
      <c r="H1436">
        <v>28611.664004334099</v>
      </c>
      <c r="I1436" s="9"/>
      <c r="J1436" t="s">
        <v>67</v>
      </c>
      <c r="K1436" t="s">
        <v>68</v>
      </c>
    </row>
    <row r="1437" spans="1:11" x14ac:dyDescent="0.25">
      <c r="A1437" t="s">
        <v>81</v>
      </c>
      <c r="B1437" t="s">
        <v>82</v>
      </c>
      <c r="C1437" t="s">
        <v>7</v>
      </c>
      <c r="D1437" t="s">
        <v>8</v>
      </c>
      <c r="E1437">
        <v>2020</v>
      </c>
      <c r="F1437" t="s">
        <v>92</v>
      </c>
      <c r="G1437" t="s">
        <v>93</v>
      </c>
      <c r="H1437">
        <v>41025.897935641202</v>
      </c>
      <c r="I1437" s="9">
        <v>12414.233931307102</v>
      </c>
      <c r="J1437" t="s">
        <v>67</v>
      </c>
      <c r="K1437" t="s">
        <v>68</v>
      </c>
    </row>
    <row r="1438" spans="1:11" x14ac:dyDescent="0.25">
      <c r="A1438" t="s">
        <v>81</v>
      </c>
      <c r="B1438" t="s">
        <v>82</v>
      </c>
      <c r="C1438" t="s">
        <v>7</v>
      </c>
      <c r="D1438" t="s">
        <v>8</v>
      </c>
      <c r="E1438">
        <v>2021</v>
      </c>
      <c r="F1438" t="s">
        <v>92</v>
      </c>
      <c r="G1438" t="s">
        <v>93</v>
      </c>
      <c r="H1438">
        <v>62157.974589226302</v>
      </c>
      <c r="I1438" s="9">
        <v>21132.0766535851</v>
      </c>
      <c r="J1438" t="s">
        <v>67</v>
      </c>
      <c r="K1438" t="s">
        <v>68</v>
      </c>
    </row>
    <row r="1439" spans="1:11" x14ac:dyDescent="0.25">
      <c r="A1439" t="s">
        <v>81</v>
      </c>
      <c r="B1439" t="s">
        <v>82</v>
      </c>
      <c r="C1439" t="s">
        <v>7</v>
      </c>
      <c r="D1439" t="s">
        <v>8</v>
      </c>
      <c r="E1439">
        <v>2022</v>
      </c>
      <c r="F1439" t="s">
        <v>92</v>
      </c>
      <c r="G1439" t="s">
        <v>93</v>
      </c>
      <c r="H1439">
        <v>88755.838910108607</v>
      </c>
      <c r="I1439" s="9">
        <v>26597.864320882305</v>
      </c>
      <c r="J1439" t="s">
        <v>67</v>
      </c>
      <c r="K1439" t="s">
        <v>68</v>
      </c>
    </row>
    <row r="1440" spans="1:11" x14ac:dyDescent="0.25">
      <c r="A1440" t="s">
        <v>81</v>
      </c>
      <c r="B1440" t="s">
        <v>82</v>
      </c>
      <c r="C1440" t="s">
        <v>7</v>
      </c>
      <c r="D1440" t="s">
        <v>8</v>
      </c>
      <c r="E1440">
        <v>2023</v>
      </c>
      <c r="F1440" t="s">
        <v>92</v>
      </c>
      <c r="G1440" t="s">
        <v>93</v>
      </c>
      <c r="H1440">
        <v>95684.311031726495</v>
      </c>
      <c r="I1440" s="9">
        <v>6928.4721216178878</v>
      </c>
      <c r="J1440" t="s">
        <v>67</v>
      </c>
      <c r="K1440" t="s">
        <v>68</v>
      </c>
    </row>
    <row r="1441" spans="1:11" x14ac:dyDescent="0.25">
      <c r="A1441" t="s">
        <v>81</v>
      </c>
      <c r="B1441" t="s">
        <v>82</v>
      </c>
      <c r="C1441" t="s">
        <v>7</v>
      </c>
      <c r="D1441" t="s">
        <v>8</v>
      </c>
      <c r="E1441">
        <v>2024</v>
      </c>
      <c r="F1441" t="s">
        <v>92</v>
      </c>
      <c r="G1441" t="s">
        <v>93</v>
      </c>
      <c r="H1441">
        <v>104483.051959869</v>
      </c>
      <c r="I1441" s="9">
        <v>8798.7409281425062</v>
      </c>
      <c r="J1441" t="s">
        <v>67</v>
      </c>
      <c r="K1441" t="s">
        <v>68</v>
      </c>
    </row>
    <row r="1442" spans="1:11" x14ac:dyDescent="0.25">
      <c r="A1442" t="s">
        <v>81</v>
      </c>
      <c r="B1442" t="s">
        <v>82</v>
      </c>
      <c r="C1442" t="s">
        <v>37</v>
      </c>
      <c r="D1442" t="s">
        <v>38</v>
      </c>
      <c r="E1442">
        <v>2019</v>
      </c>
      <c r="F1442" t="s">
        <v>92</v>
      </c>
      <c r="G1442" t="s">
        <v>93</v>
      </c>
      <c r="H1442">
        <v>65227.421089972602</v>
      </c>
      <c r="I1442" s="9"/>
      <c r="J1442" t="s">
        <v>67</v>
      </c>
      <c r="K1442" t="s">
        <v>68</v>
      </c>
    </row>
    <row r="1443" spans="1:11" x14ac:dyDescent="0.25">
      <c r="A1443" t="s">
        <v>81</v>
      </c>
      <c r="B1443" t="s">
        <v>82</v>
      </c>
      <c r="C1443" t="s">
        <v>37</v>
      </c>
      <c r="D1443" t="s">
        <v>38</v>
      </c>
      <c r="E1443">
        <v>2020</v>
      </c>
      <c r="F1443" t="s">
        <v>92</v>
      </c>
      <c r="G1443" t="s">
        <v>93</v>
      </c>
      <c r="H1443">
        <v>74774.631307122007</v>
      </c>
      <c r="I1443" s="9">
        <v>9547.2102171494043</v>
      </c>
      <c r="J1443" t="s">
        <v>67</v>
      </c>
      <c r="K1443" t="s">
        <v>68</v>
      </c>
    </row>
    <row r="1444" spans="1:11" x14ac:dyDescent="0.25">
      <c r="A1444" t="s">
        <v>81</v>
      </c>
      <c r="B1444" t="s">
        <v>82</v>
      </c>
      <c r="C1444" t="s">
        <v>37</v>
      </c>
      <c r="D1444" t="s">
        <v>38</v>
      </c>
      <c r="E1444">
        <v>2021</v>
      </c>
      <c r="F1444" t="s">
        <v>92</v>
      </c>
      <c r="G1444" t="s">
        <v>93</v>
      </c>
      <c r="H1444">
        <v>87200.123005475805</v>
      </c>
      <c r="I1444" s="9">
        <v>12425.491698353799</v>
      </c>
      <c r="J1444" t="s">
        <v>67</v>
      </c>
      <c r="K1444" t="s">
        <v>68</v>
      </c>
    </row>
    <row r="1445" spans="1:11" x14ac:dyDescent="0.25">
      <c r="A1445" t="s">
        <v>81</v>
      </c>
      <c r="B1445" t="s">
        <v>82</v>
      </c>
      <c r="C1445" t="s">
        <v>37</v>
      </c>
      <c r="D1445" t="s">
        <v>38</v>
      </c>
      <c r="E1445">
        <v>2022</v>
      </c>
      <c r="F1445" t="s">
        <v>92</v>
      </c>
      <c r="G1445" t="s">
        <v>93</v>
      </c>
      <c r="H1445">
        <v>102586.163771041</v>
      </c>
      <c r="I1445" s="9">
        <v>15386.040765565194</v>
      </c>
      <c r="J1445" t="s">
        <v>67</v>
      </c>
      <c r="K1445" t="s">
        <v>68</v>
      </c>
    </row>
    <row r="1446" spans="1:11" x14ac:dyDescent="0.25">
      <c r="A1446" t="s">
        <v>81</v>
      </c>
      <c r="B1446" t="s">
        <v>82</v>
      </c>
      <c r="C1446" t="s">
        <v>37</v>
      </c>
      <c r="D1446" t="s">
        <v>38</v>
      </c>
      <c r="E1446">
        <v>2023</v>
      </c>
      <c r="F1446" t="s">
        <v>92</v>
      </c>
      <c r="G1446" t="s">
        <v>93</v>
      </c>
      <c r="H1446">
        <v>109993.842284404</v>
      </c>
      <c r="I1446" s="9">
        <v>7407.6785133630037</v>
      </c>
      <c r="J1446" t="s">
        <v>67</v>
      </c>
      <c r="K1446" t="s">
        <v>68</v>
      </c>
    </row>
    <row r="1447" spans="1:11" x14ac:dyDescent="0.25">
      <c r="A1447" t="s">
        <v>81</v>
      </c>
      <c r="B1447" t="s">
        <v>82</v>
      </c>
      <c r="C1447" t="s">
        <v>37</v>
      </c>
      <c r="D1447" t="s">
        <v>38</v>
      </c>
      <c r="E1447">
        <v>2024</v>
      </c>
      <c r="F1447" t="s">
        <v>92</v>
      </c>
      <c r="G1447" t="s">
        <v>93</v>
      </c>
      <c r="I1447" s="9"/>
      <c r="J1447" t="s">
        <v>67</v>
      </c>
      <c r="K1447" t="s">
        <v>68</v>
      </c>
    </row>
    <row r="1448" spans="1:11" x14ac:dyDescent="0.25">
      <c r="A1448" t="s">
        <v>81</v>
      </c>
      <c r="B1448" t="s">
        <v>82</v>
      </c>
      <c r="C1448" t="s">
        <v>39</v>
      </c>
      <c r="D1448" t="s">
        <v>40</v>
      </c>
      <c r="E1448">
        <v>2019</v>
      </c>
      <c r="F1448" t="s">
        <v>92</v>
      </c>
      <c r="G1448" t="s">
        <v>93</v>
      </c>
      <c r="H1448">
        <v>37520.948246343003</v>
      </c>
      <c r="I1448" s="9"/>
      <c r="J1448" t="s">
        <v>67</v>
      </c>
      <c r="K1448" t="s">
        <v>68</v>
      </c>
    </row>
    <row r="1449" spans="1:11" x14ac:dyDescent="0.25">
      <c r="A1449" t="s">
        <v>81</v>
      </c>
      <c r="B1449" t="s">
        <v>82</v>
      </c>
      <c r="C1449" t="s">
        <v>39</v>
      </c>
      <c r="D1449" t="s">
        <v>40</v>
      </c>
      <c r="E1449">
        <v>2020</v>
      </c>
      <c r="F1449" t="s">
        <v>92</v>
      </c>
      <c r="G1449" t="s">
        <v>93</v>
      </c>
      <c r="H1449">
        <v>50429.258285252698</v>
      </c>
      <c r="I1449" s="9">
        <v>12908.310038909694</v>
      </c>
      <c r="J1449" t="s">
        <v>67</v>
      </c>
      <c r="K1449" t="s">
        <v>68</v>
      </c>
    </row>
    <row r="1450" spans="1:11" x14ac:dyDescent="0.25">
      <c r="A1450" t="s">
        <v>81</v>
      </c>
      <c r="B1450" t="s">
        <v>82</v>
      </c>
      <c r="C1450" t="s">
        <v>39</v>
      </c>
      <c r="D1450" t="s">
        <v>40</v>
      </c>
      <c r="E1450">
        <v>2021</v>
      </c>
      <c r="F1450" t="s">
        <v>92</v>
      </c>
      <c r="G1450" t="s">
        <v>93</v>
      </c>
      <c r="H1450">
        <v>76545.656771837399</v>
      </c>
      <c r="I1450" s="9">
        <v>26116.398486584701</v>
      </c>
      <c r="J1450" t="s">
        <v>67</v>
      </c>
      <c r="K1450" t="s">
        <v>68</v>
      </c>
    </row>
    <row r="1451" spans="1:11" x14ac:dyDescent="0.25">
      <c r="A1451" t="s">
        <v>81</v>
      </c>
      <c r="B1451" t="s">
        <v>82</v>
      </c>
      <c r="C1451" t="s">
        <v>39</v>
      </c>
      <c r="D1451" t="s">
        <v>40</v>
      </c>
      <c r="E1451">
        <v>2022</v>
      </c>
      <c r="F1451" t="s">
        <v>92</v>
      </c>
      <c r="G1451" t="s">
        <v>93</v>
      </c>
      <c r="H1451">
        <v>105996.30260397401</v>
      </c>
      <c r="I1451" s="9">
        <v>29450.645832136608</v>
      </c>
      <c r="J1451" t="s">
        <v>67</v>
      </c>
      <c r="K1451" t="s">
        <v>68</v>
      </c>
    </row>
    <row r="1452" spans="1:11" x14ac:dyDescent="0.25">
      <c r="A1452" t="s">
        <v>81</v>
      </c>
      <c r="B1452" t="s">
        <v>82</v>
      </c>
      <c r="C1452" t="s">
        <v>39</v>
      </c>
      <c r="D1452" t="s">
        <v>40</v>
      </c>
      <c r="E1452">
        <v>2023</v>
      </c>
      <c r="F1452" t="s">
        <v>92</v>
      </c>
      <c r="G1452" t="s">
        <v>93</v>
      </c>
      <c r="H1452">
        <v>145686.76603298599</v>
      </c>
      <c r="I1452" s="9">
        <v>39690.463429011987</v>
      </c>
      <c r="J1452" t="s">
        <v>67</v>
      </c>
      <c r="K1452" t="s">
        <v>68</v>
      </c>
    </row>
    <row r="1453" spans="1:11" x14ac:dyDescent="0.25">
      <c r="A1453" t="s">
        <v>81</v>
      </c>
      <c r="B1453" t="s">
        <v>82</v>
      </c>
      <c r="C1453" t="s">
        <v>39</v>
      </c>
      <c r="D1453" t="s">
        <v>40</v>
      </c>
      <c r="E1453">
        <v>2024</v>
      </c>
      <c r="F1453" t="s">
        <v>92</v>
      </c>
      <c r="G1453" t="s">
        <v>93</v>
      </c>
      <c r="H1453">
        <v>165541.803878573</v>
      </c>
      <c r="I1453" s="9">
        <v>19855.037845587009</v>
      </c>
      <c r="J1453" t="s">
        <v>67</v>
      </c>
      <c r="K1453" t="s">
        <v>68</v>
      </c>
    </row>
    <row r="1454" spans="1:11" x14ac:dyDescent="0.25">
      <c r="A1454" t="s">
        <v>81</v>
      </c>
      <c r="B1454" t="s">
        <v>82</v>
      </c>
      <c r="C1454" t="s">
        <v>55</v>
      </c>
      <c r="D1454" t="s">
        <v>56</v>
      </c>
      <c r="E1454">
        <v>2019</v>
      </c>
      <c r="F1454" t="s">
        <v>92</v>
      </c>
      <c r="G1454" t="s">
        <v>93</v>
      </c>
      <c r="I1454" s="9"/>
      <c r="J1454" t="s">
        <v>67</v>
      </c>
      <c r="K1454" t="s">
        <v>68</v>
      </c>
    </row>
    <row r="1455" spans="1:11" x14ac:dyDescent="0.25">
      <c r="A1455" t="s">
        <v>81</v>
      </c>
      <c r="B1455" t="s">
        <v>82</v>
      </c>
      <c r="C1455" t="s">
        <v>55</v>
      </c>
      <c r="D1455" t="s">
        <v>56</v>
      </c>
      <c r="E1455">
        <v>2020</v>
      </c>
      <c r="F1455" t="s">
        <v>92</v>
      </c>
      <c r="G1455" t="s">
        <v>93</v>
      </c>
      <c r="I1455" s="9"/>
      <c r="J1455" t="s">
        <v>67</v>
      </c>
      <c r="K1455" t="s">
        <v>68</v>
      </c>
    </row>
    <row r="1456" spans="1:11" x14ac:dyDescent="0.25">
      <c r="A1456" t="s">
        <v>81</v>
      </c>
      <c r="B1456" t="s">
        <v>82</v>
      </c>
      <c r="C1456" t="s">
        <v>55</v>
      </c>
      <c r="D1456" t="s">
        <v>56</v>
      </c>
      <c r="E1456">
        <v>2021</v>
      </c>
      <c r="F1456" t="s">
        <v>92</v>
      </c>
      <c r="G1456" t="s">
        <v>93</v>
      </c>
      <c r="I1456" s="9"/>
      <c r="J1456" t="s">
        <v>67</v>
      </c>
      <c r="K1456" t="s">
        <v>68</v>
      </c>
    </row>
    <row r="1457" spans="1:11" x14ac:dyDescent="0.25">
      <c r="A1457" t="s">
        <v>81</v>
      </c>
      <c r="B1457" t="s">
        <v>82</v>
      </c>
      <c r="C1457" t="s">
        <v>55</v>
      </c>
      <c r="D1457" t="s">
        <v>56</v>
      </c>
      <c r="E1457">
        <v>2022</v>
      </c>
      <c r="F1457" t="s">
        <v>92</v>
      </c>
      <c r="G1457" t="s">
        <v>93</v>
      </c>
      <c r="I1457" s="9"/>
      <c r="J1457" t="s">
        <v>67</v>
      </c>
      <c r="K1457" t="s">
        <v>68</v>
      </c>
    </row>
    <row r="1458" spans="1:11" x14ac:dyDescent="0.25">
      <c r="A1458" t="s">
        <v>81</v>
      </c>
      <c r="B1458" t="s">
        <v>82</v>
      </c>
      <c r="C1458" t="s">
        <v>55</v>
      </c>
      <c r="D1458" t="s">
        <v>56</v>
      </c>
      <c r="E1458">
        <v>2023</v>
      </c>
      <c r="F1458" t="s">
        <v>92</v>
      </c>
      <c r="G1458" t="s">
        <v>93</v>
      </c>
      <c r="I1458" s="9"/>
      <c r="J1458" t="s">
        <v>67</v>
      </c>
      <c r="K1458" t="s">
        <v>68</v>
      </c>
    </row>
    <row r="1459" spans="1:11" x14ac:dyDescent="0.25">
      <c r="A1459" t="s">
        <v>81</v>
      </c>
      <c r="B1459" t="s">
        <v>82</v>
      </c>
      <c r="C1459" t="s">
        <v>55</v>
      </c>
      <c r="D1459" t="s">
        <v>56</v>
      </c>
      <c r="E1459">
        <v>2024</v>
      </c>
      <c r="F1459" t="s">
        <v>92</v>
      </c>
      <c r="G1459" t="s">
        <v>93</v>
      </c>
      <c r="I1459" s="9"/>
      <c r="J1459" t="s">
        <v>67</v>
      </c>
      <c r="K1459" t="s">
        <v>68</v>
      </c>
    </row>
    <row r="1460" spans="1:11" x14ac:dyDescent="0.25">
      <c r="A1460" t="s">
        <v>81</v>
      </c>
      <c r="B1460" t="s">
        <v>82</v>
      </c>
      <c r="C1460" t="s">
        <v>41</v>
      </c>
      <c r="D1460" t="s">
        <v>42</v>
      </c>
      <c r="E1460">
        <v>2019</v>
      </c>
      <c r="F1460" t="s">
        <v>92</v>
      </c>
      <c r="G1460" t="s">
        <v>93</v>
      </c>
      <c r="I1460" s="9"/>
      <c r="J1460" t="s">
        <v>67</v>
      </c>
      <c r="K1460" t="s">
        <v>68</v>
      </c>
    </row>
    <row r="1461" spans="1:11" x14ac:dyDescent="0.25">
      <c r="A1461" t="s">
        <v>81</v>
      </c>
      <c r="B1461" t="s">
        <v>82</v>
      </c>
      <c r="C1461" t="s">
        <v>41</v>
      </c>
      <c r="D1461" t="s">
        <v>42</v>
      </c>
      <c r="E1461">
        <v>2020</v>
      </c>
      <c r="F1461" t="s">
        <v>92</v>
      </c>
      <c r="G1461" t="s">
        <v>93</v>
      </c>
      <c r="I1461" s="9"/>
      <c r="J1461" t="s">
        <v>67</v>
      </c>
      <c r="K1461" t="s">
        <v>68</v>
      </c>
    </row>
    <row r="1462" spans="1:11" x14ac:dyDescent="0.25">
      <c r="A1462" t="s">
        <v>81</v>
      </c>
      <c r="B1462" t="s">
        <v>82</v>
      </c>
      <c r="C1462" t="s">
        <v>41</v>
      </c>
      <c r="D1462" t="s">
        <v>42</v>
      </c>
      <c r="E1462">
        <v>2021</v>
      </c>
      <c r="F1462" t="s">
        <v>92</v>
      </c>
      <c r="G1462" t="s">
        <v>93</v>
      </c>
      <c r="I1462" s="9"/>
      <c r="J1462" t="s">
        <v>67</v>
      </c>
      <c r="K1462" t="s">
        <v>68</v>
      </c>
    </row>
    <row r="1463" spans="1:11" x14ac:dyDescent="0.25">
      <c r="A1463" t="s">
        <v>81</v>
      </c>
      <c r="B1463" t="s">
        <v>82</v>
      </c>
      <c r="C1463" t="s">
        <v>41</v>
      </c>
      <c r="D1463" t="s">
        <v>42</v>
      </c>
      <c r="E1463">
        <v>2022</v>
      </c>
      <c r="F1463" t="s">
        <v>92</v>
      </c>
      <c r="G1463" t="s">
        <v>93</v>
      </c>
      <c r="I1463" s="9"/>
      <c r="J1463" t="s">
        <v>67</v>
      </c>
      <c r="K1463" t="s">
        <v>68</v>
      </c>
    </row>
    <row r="1464" spans="1:11" x14ac:dyDescent="0.25">
      <c r="A1464" t="s">
        <v>81</v>
      </c>
      <c r="B1464" t="s">
        <v>82</v>
      </c>
      <c r="C1464" t="s">
        <v>41</v>
      </c>
      <c r="D1464" t="s">
        <v>42</v>
      </c>
      <c r="E1464">
        <v>2023</v>
      </c>
      <c r="F1464" t="s">
        <v>92</v>
      </c>
      <c r="G1464" t="s">
        <v>93</v>
      </c>
      <c r="I1464" s="9"/>
      <c r="J1464" t="s">
        <v>67</v>
      </c>
      <c r="K1464" t="s">
        <v>68</v>
      </c>
    </row>
    <row r="1465" spans="1:11" x14ac:dyDescent="0.25">
      <c r="A1465" t="s">
        <v>81</v>
      </c>
      <c r="B1465" t="s">
        <v>82</v>
      </c>
      <c r="C1465" t="s">
        <v>41</v>
      </c>
      <c r="D1465" t="s">
        <v>42</v>
      </c>
      <c r="E1465">
        <v>2024</v>
      </c>
      <c r="F1465" t="s">
        <v>92</v>
      </c>
      <c r="G1465" t="s">
        <v>93</v>
      </c>
      <c r="I1465" s="9"/>
      <c r="J1465" t="s">
        <v>67</v>
      </c>
      <c r="K1465" t="s">
        <v>68</v>
      </c>
    </row>
    <row r="1466" spans="1:11" x14ac:dyDescent="0.25">
      <c r="A1466" t="s">
        <v>81</v>
      </c>
      <c r="B1466" t="s">
        <v>82</v>
      </c>
      <c r="C1466" t="s">
        <v>43</v>
      </c>
      <c r="D1466" t="s">
        <v>44</v>
      </c>
      <c r="E1466">
        <v>2019</v>
      </c>
      <c r="F1466" t="s">
        <v>92</v>
      </c>
      <c r="G1466" t="s">
        <v>93</v>
      </c>
      <c r="I1466" s="9"/>
      <c r="J1466" t="s">
        <v>67</v>
      </c>
      <c r="K1466" t="s">
        <v>68</v>
      </c>
    </row>
    <row r="1467" spans="1:11" x14ac:dyDescent="0.25">
      <c r="A1467" t="s">
        <v>81</v>
      </c>
      <c r="B1467" t="s">
        <v>82</v>
      </c>
      <c r="C1467" t="s">
        <v>43</v>
      </c>
      <c r="D1467" t="s">
        <v>44</v>
      </c>
      <c r="E1467">
        <v>2020</v>
      </c>
      <c r="F1467" t="s">
        <v>92</v>
      </c>
      <c r="G1467" t="s">
        <v>93</v>
      </c>
      <c r="I1467" s="9"/>
      <c r="J1467" t="s">
        <v>67</v>
      </c>
      <c r="K1467" t="s">
        <v>68</v>
      </c>
    </row>
    <row r="1468" spans="1:11" x14ac:dyDescent="0.25">
      <c r="A1468" t="s">
        <v>81</v>
      </c>
      <c r="B1468" t="s">
        <v>82</v>
      </c>
      <c r="C1468" t="s">
        <v>43</v>
      </c>
      <c r="D1468" t="s">
        <v>44</v>
      </c>
      <c r="E1468">
        <v>2021</v>
      </c>
      <c r="F1468" t="s">
        <v>92</v>
      </c>
      <c r="G1468" t="s">
        <v>93</v>
      </c>
      <c r="I1468" s="9"/>
      <c r="J1468" t="s">
        <v>67</v>
      </c>
      <c r="K1468" t="s">
        <v>68</v>
      </c>
    </row>
    <row r="1469" spans="1:11" x14ac:dyDescent="0.25">
      <c r="A1469" t="s">
        <v>81</v>
      </c>
      <c r="B1469" t="s">
        <v>82</v>
      </c>
      <c r="C1469" t="s">
        <v>43</v>
      </c>
      <c r="D1469" t="s">
        <v>44</v>
      </c>
      <c r="E1469">
        <v>2022</v>
      </c>
      <c r="F1469" t="s">
        <v>92</v>
      </c>
      <c r="G1469" t="s">
        <v>93</v>
      </c>
      <c r="I1469" s="9"/>
      <c r="J1469" t="s">
        <v>67</v>
      </c>
      <c r="K1469" t="s">
        <v>68</v>
      </c>
    </row>
    <row r="1470" spans="1:11" x14ac:dyDescent="0.25">
      <c r="A1470" t="s">
        <v>81</v>
      </c>
      <c r="B1470" t="s">
        <v>82</v>
      </c>
      <c r="C1470" t="s">
        <v>43</v>
      </c>
      <c r="D1470" t="s">
        <v>44</v>
      </c>
      <c r="E1470">
        <v>2023</v>
      </c>
      <c r="F1470" t="s">
        <v>92</v>
      </c>
      <c r="G1470" t="s">
        <v>93</v>
      </c>
      <c r="I1470" s="9"/>
      <c r="J1470" t="s">
        <v>67</v>
      </c>
      <c r="K1470" t="s">
        <v>68</v>
      </c>
    </row>
    <row r="1471" spans="1:11" x14ac:dyDescent="0.25">
      <c r="A1471" t="s">
        <v>81</v>
      </c>
      <c r="B1471" t="s">
        <v>82</v>
      </c>
      <c r="C1471" t="s">
        <v>43</v>
      </c>
      <c r="D1471" t="s">
        <v>44</v>
      </c>
      <c r="E1471">
        <v>2024</v>
      </c>
      <c r="F1471" t="s">
        <v>92</v>
      </c>
      <c r="G1471" t="s">
        <v>93</v>
      </c>
      <c r="I1471" s="9"/>
      <c r="J1471" t="s">
        <v>67</v>
      </c>
      <c r="K1471" t="s">
        <v>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76DC9-8EB8-4BCE-B8E5-979EB97F1BC0}">
  <dimension ref="A12:U117"/>
  <sheetViews>
    <sheetView tabSelected="1" workbookViewId="0">
      <selection activeCell="S17" sqref="S17"/>
    </sheetView>
  </sheetViews>
  <sheetFormatPr defaultRowHeight="15" x14ac:dyDescent="0.25"/>
  <cols>
    <col min="1" max="1" width="39" customWidth="1"/>
  </cols>
  <sheetData>
    <row r="12" spans="2:21" ht="28.5" x14ac:dyDescent="0.45">
      <c r="O12" s="17" t="s">
        <v>125</v>
      </c>
      <c r="S12" t="s">
        <v>126</v>
      </c>
      <c r="U12" s="18" t="str">
        <f>HYPERLINK(S12,"click here")</f>
        <v>click here</v>
      </c>
    </row>
    <row r="13" spans="2:21" x14ac:dyDescent="0.25">
      <c r="C13" s="10" t="s">
        <v>94</v>
      </c>
      <c r="K13" s="10" t="s">
        <v>95</v>
      </c>
      <c r="N13" t="s">
        <v>101</v>
      </c>
      <c r="O13" t="s">
        <v>124</v>
      </c>
    </row>
    <row r="14" spans="2:21" x14ac:dyDescent="0.25">
      <c r="B14" s="10" t="s">
        <v>96</v>
      </c>
      <c r="C14" s="11" t="s">
        <v>67</v>
      </c>
      <c r="D14" s="11"/>
      <c r="E14" s="11"/>
      <c r="G14" s="12" t="s">
        <v>97</v>
      </c>
      <c r="H14" s="12"/>
      <c r="I14" s="12"/>
      <c r="J14" s="12"/>
      <c r="K14" s="12"/>
      <c r="O14" s="13" t="s">
        <v>123</v>
      </c>
      <c r="P14" s="13"/>
      <c r="Q14" s="13"/>
      <c r="R14" s="13"/>
    </row>
    <row r="15" spans="2:21" x14ac:dyDescent="0.25">
      <c r="C15" s="13" t="s">
        <v>98</v>
      </c>
      <c r="D15" s="13"/>
      <c r="E15" s="13"/>
      <c r="F15" s="14" t="s">
        <v>99</v>
      </c>
      <c r="G15" s="14"/>
      <c r="H15" s="14"/>
      <c r="I15" s="14"/>
      <c r="J15" s="14"/>
      <c r="K15" s="14"/>
      <c r="O15" s="13"/>
      <c r="P15" s="13"/>
      <c r="Q15" s="13"/>
      <c r="R15" s="13"/>
    </row>
    <row r="16" spans="2:21" x14ac:dyDescent="0.25">
      <c r="C16" s="13"/>
      <c r="D16" s="13"/>
      <c r="E16" s="13"/>
      <c r="F16" s="14"/>
      <c r="G16" s="14"/>
      <c r="H16" s="14"/>
      <c r="I16" s="14"/>
      <c r="J16" s="14"/>
      <c r="K16" s="14"/>
      <c r="O16" s="13"/>
      <c r="P16" s="13"/>
      <c r="Q16" s="13"/>
      <c r="R16" s="13"/>
    </row>
    <row r="17" spans="1:18" x14ac:dyDescent="0.25">
      <c r="C17" s="13"/>
      <c r="D17" s="13"/>
      <c r="E17" s="13"/>
      <c r="F17" s="14"/>
      <c r="G17" s="14"/>
      <c r="H17" s="14"/>
      <c r="I17" s="14"/>
      <c r="J17" s="14"/>
      <c r="K17" s="14"/>
      <c r="O17" s="13"/>
      <c r="P17" s="13"/>
      <c r="Q17" s="13"/>
      <c r="R17" s="13"/>
    </row>
    <row r="18" spans="1:18" x14ac:dyDescent="0.25">
      <c r="C18" s="13"/>
      <c r="D18" s="13"/>
      <c r="E18" s="13"/>
      <c r="F18" s="14"/>
      <c r="G18" s="14"/>
      <c r="H18" s="14"/>
      <c r="I18" s="14"/>
      <c r="J18" s="14"/>
      <c r="K18" s="14"/>
      <c r="O18" s="13"/>
      <c r="P18" s="13"/>
      <c r="Q18" s="13"/>
      <c r="R18" s="13"/>
    </row>
    <row r="19" spans="1:18" x14ac:dyDescent="0.25">
      <c r="C19" s="13"/>
      <c r="D19" s="13"/>
      <c r="E19" s="13"/>
      <c r="F19" s="14"/>
      <c r="G19" s="14"/>
      <c r="H19" s="14"/>
      <c r="I19" s="14"/>
      <c r="J19" s="14"/>
      <c r="K19" s="14"/>
      <c r="O19" s="13"/>
      <c r="P19" s="13"/>
      <c r="Q19" s="13"/>
      <c r="R19" s="13"/>
    </row>
    <row r="20" spans="1:18" x14ac:dyDescent="0.25">
      <c r="C20" s="13"/>
      <c r="D20" s="13"/>
      <c r="E20" s="13"/>
      <c r="F20" s="14"/>
      <c r="G20" s="14"/>
      <c r="H20" s="14"/>
      <c r="I20" s="14"/>
      <c r="J20" s="14"/>
      <c r="K20" s="14"/>
      <c r="O20" s="13"/>
      <c r="P20" s="13"/>
      <c r="Q20" s="13"/>
      <c r="R20" s="13"/>
    </row>
    <row r="21" spans="1:18" x14ac:dyDescent="0.25">
      <c r="C21" s="13"/>
      <c r="D21" s="13"/>
      <c r="E21" s="13"/>
      <c r="F21" s="14"/>
      <c r="G21" s="14"/>
      <c r="H21" s="14"/>
      <c r="I21" s="14"/>
      <c r="J21" s="14"/>
      <c r="K21" s="14"/>
      <c r="O21" s="13"/>
      <c r="P21" s="13"/>
      <c r="Q21" s="13"/>
      <c r="R21" s="13"/>
    </row>
    <row r="22" spans="1:18" x14ac:dyDescent="0.25">
      <c r="C22" s="13"/>
      <c r="D22" s="13"/>
      <c r="E22" s="13"/>
      <c r="F22" s="14"/>
      <c r="G22" s="14"/>
      <c r="H22" s="14"/>
      <c r="I22" s="14"/>
      <c r="J22" s="14"/>
      <c r="K22" s="14"/>
      <c r="O22" s="13"/>
      <c r="P22" s="13"/>
      <c r="Q22" s="13"/>
      <c r="R22" s="13"/>
    </row>
    <row r="23" spans="1:18" x14ac:dyDescent="0.25">
      <c r="C23" s="13"/>
      <c r="D23" s="13"/>
      <c r="E23" s="13"/>
      <c r="F23" s="14"/>
      <c r="G23" s="14"/>
      <c r="H23" s="14"/>
      <c r="I23" s="14"/>
      <c r="J23" s="14"/>
      <c r="K23" s="14"/>
      <c r="O23" s="13"/>
      <c r="P23" s="13"/>
      <c r="Q23" s="13"/>
      <c r="R23" s="13"/>
    </row>
    <row r="24" spans="1:18" x14ac:dyDescent="0.25">
      <c r="C24" s="13"/>
      <c r="D24" s="13"/>
      <c r="E24" s="13"/>
      <c r="F24" s="14"/>
      <c r="G24" s="14"/>
      <c r="H24" s="14"/>
      <c r="I24" s="14"/>
      <c r="J24" s="14"/>
      <c r="K24" s="14"/>
      <c r="O24" s="13"/>
      <c r="P24" s="13"/>
      <c r="Q24" s="13"/>
      <c r="R24" s="13"/>
    </row>
    <row r="25" spans="1:18" x14ac:dyDescent="0.25">
      <c r="C25" s="13"/>
      <c r="D25" s="13"/>
      <c r="E25" s="13"/>
      <c r="F25" s="14"/>
      <c r="G25" s="14"/>
      <c r="H25" s="14"/>
      <c r="I25" s="14"/>
      <c r="J25" s="14"/>
      <c r="K25" s="14"/>
      <c r="O25" s="13"/>
      <c r="P25" s="13"/>
      <c r="Q25" s="13"/>
      <c r="R25" s="13"/>
    </row>
    <row r="26" spans="1:18" x14ac:dyDescent="0.25">
      <c r="C26" s="13"/>
      <c r="D26" s="13"/>
      <c r="E26" s="13"/>
      <c r="O26" s="13"/>
      <c r="P26" s="13"/>
      <c r="Q26" s="13"/>
      <c r="R26" s="13"/>
    </row>
    <row r="27" spans="1:18" x14ac:dyDescent="0.25">
      <c r="C27" s="13"/>
      <c r="D27" s="13"/>
      <c r="E27" s="13"/>
      <c r="O27" s="13"/>
      <c r="P27" s="13"/>
      <c r="Q27" s="13"/>
      <c r="R27" s="13"/>
    </row>
    <row r="28" spans="1:18" x14ac:dyDescent="0.25">
      <c r="C28" s="13"/>
      <c r="D28" s="13"/>
      <c r="E28" s="13"/>
    </row>
    <row r="29" spans="1:18" x14ac:dyDescent="0.25">
      <c r="C29" s="13"/>
      <c r="D29" s="13"/>
      <c r="E29" s="13"/>
    </row>
    <row r="32" spans="1:18" x14ac:dyDescent="0.25">
      <c r="A32" t="s">
        <v>100</v>
      </c>
      <c r="B32" s="10" t="s">
        <v>101</v>
      </c>
      <c r="C32" s="12" t="s">
        <v>102</v>
      </c>
      <c r="D32" s="12"/>
      <c r="E32" s="12"/>
      <c r="F32" s="12"/>
      <c r="G32" s="12"/>
      <c r="H32" s="12"/>
      <c r="I32" s="12"/>
      <c r="J32" s="12"/>
      <c r="K32" s="12"/>
      <c r="L32" s="11" t="s">
        <v>103</v>
      </c>
      <c r="M32" s="11"/>
      <c r="N32" s="11"/>
      <c r="O32" s="11"/>
    </row>
    <row r="33" spans="1:15" x14ac:dyDescent="0.25">
      <c r="A33" s="15" t="s">
        <v>104</v>
      </c>
      <c r="C33" s="13" t="s">
        <v>105</v>
      </c>
      <c r="D33" s="13"/>
      <c r="E33" s="13"/>
      <c r="F33" s="13"/>
      <c r="L33" s="14" t="s">
        <v>106</v>
      </c>
      <c r="M33" s="14"/>
      <c r="N33" s="14"/>
      <c r="O33" s="14"/>
    </row>
    <row r="34" spans="1:15" x14ac:dyDescent="0.25">
      <c r="C34" s="13"/>
      <c r="D34" s="13"/>
      <c r="E34" s="13"/>
      <c r="F34" s="13"/>
      <c r="L34" s="14"/>
      <c r="M34" s="14"/>
      <c r="N34" s="14"/>
      <c r="O34" s="14"/>
    </row>
    <row r="35" spans="1:15" x14ac:dyDescent="0.25">
      <c r="C35" s="13"/>
      <c r="D35" s="13"/>
      <c r="E35" s="13"/>
      <c r="F35" s="13"/>
      <c r="L35" s="14"/>
      <c r="M35" s="14"/>
      <c r="N35" s="14"/>
      <c r="O35" s="14"/>
    </row>
    <row r="36" spans="1:15" x14ac:dyDescent="0.25">
      <c r="C36" s="13"/>
      <c r="D36" s="13"/>
      <c r="E36" s="13"/>
      <c r="F36" s="13"/>
      <c r="L36" s="14"/>
      <c r="M36" s="14"/>
      <c r="N36" s="14"/>
      <c r="O36" s="14"/>
    </row>
    <row r="37" spans="1:15" x14ac:dyDescent="0.25">
      <c r="C37" s="13"/>
      <c r="D37" s="13"/>
      <c r="E37" s="13"/>
      <c r="F37" s="13"/>
      <c r="L37" s="14"/>
      <c r="M37" s="14"/>
      <c r="N37" s="14"/>
      <c r="O37" s="14"/>
    </row>
    <row r="38" spans="1:15" x14ac:dyDescent="0.25">
      <c r="C38" s="13"/>
      <c r="D38" s="13"/>
      <c r="E38" s="13"/>
      <c r="F38" s="13"/>
      <c r="L38" s="14"/>
      <c r="M38" s="14"/>
      <c r="N38" s="14"/>
      <c r="O38" s="14"/>
    </row>
    <row r="39" spans="1:15" x14ac:dyDescent="0.25">
      <c r="C39" s="13"/>
      <c r="D39" s="13"/>
      <c r="E39" s="13"/>
      <c r="F39" s="13"/>
      <c r="L39" s="14"/>
      <c r="M39" s="14"/>
      <c r="N39" s="14"/>
      <c r="O39" s="14"/>
    </row>
    <row r="40" spans="1:15" x14ac:dyDescent="0.25">
      <c r="C40" s="13"/>
      <c r="D40" s="13"/>
      <c r="E40" s="13"/>
      <c r="F40" s="13"/>
      <c r="L40" s="14"/>
      <c r="M40" s="14"/>
      <c r="N40" s="14"/>
      <c r="O40" s="14"/>
    </row>
    <row r="43" spans="1:15" x14ac:dyDescent="0.25">
      <c r="A43" t="s">
        <v>107</v>
      </c>
      <c r="B43" s="10" t="s">
        <v>101</v>
      </c>
      <c r="C43" s="12" t="s">
        <v>108</v>
      </c>
      <c r="D43" s="12"/>
      <c r="E43" s="12"/>
      <c r="F43" s="12"/>
      <c r="G43" s="12"/>
      <c r="H43" s="16"/>
      <c r="I43" s="16"/>
      <c r="J43" s="16"/>
      <c r="L43" s="12" t="s">
        <v>109</v>
      </c>
      <c r="M43" s="12"/>
      <c r="N43" s="12"/>
      <c r="O43" s="12"/>
    </row>
    <row r="44" spans="1:15" x14ac:dyDescent="0.25">
      <c r="A44" t="s">
        <v>110</v>
      </c>
      <c r="C44" s="13" t="s">
        <v>111</v>
      </c>
      <c r="D44" s="13"/>
      <c r="E44" s="13"/>
      <c r="F44" s="13"/>
      <c r="L44" s="13" t="s">
        <v>112</v>
      </c>
      <c r="M44" s="13"/>
      <c r="N44" s="13"/>
      <c r="O44" s="13"/>
    </row>
    <row r="45" spans="1:15" x14ac:dyDescent="0.25">
      <c r="C45" s="13"/>
      <c r="D45" s="13"/>
      <c r="E45" s="13"/>
      <c r="F45" s="13"/>
      <c r="L45" s="13"/>
      <c r="M45" s="13"/>
      <c r="N45" s="13"/>
      <c r="O45" s="13"/>
    </row>
    <row r="46" spans="1:15" x14ac:dyDescent="0.25">
      <c r="C46" s="13"/>
      <c r="D46" s="13"/>
      <c r="E46" s="13"/>
      <c r="F46" s="13"/>
      <c r="L46" s="13"/>
      <c r="M46" s="13"/>
      <c r="N46" s="13"/>
      <c r="O46" s="13"/>
    </row>
    <row r="47" spans="1:15" x14ac:dyDescent="0.25">
      <c r="C47" s="13"/>
      <c r="D47" s="13"/>
      <c r="E47" s="13"/>
      <c r="F47" s="13"/>
      <c r="L47" s="13"/>
      <c r="M47" s="13"/>
      <c r="N47" s="13"/>
      <c r="O47" s="13"/>
    </row>
    <row r="48" spans="1:15" x14ac:dyDescent="0.25">
      <c r="C48" s="13"/>
      <c r="D48" s="13"/>
      <c r="E48" s="13"/>
      <c r="F48" s="13"/>
      <c r="L48" s="13"/>
      <c r="M48" s="13"/>
      <c r="N48" s="13"/>
      <c r="O48" s="13"/>
    </row>
    <row r="52" spans="2:15" x14ac:dyDescent="0.25">
      <c r="O52" t="s">
        <v>85</v>
      </c>
    </row>
    <row r="53" spans="2:15" x14ac:dyDescent="0.25">
      <c r="B53" t="s">
        <v>101</v>
      </c>
      <c r="C53" t="s">
        <v>83</v>
      </c>
      <c r="L53" s="13" t="s">
        <v>114</v>
      </c>
      <c r="M53" s="13"/>
      <c r="N53" s="13"/>
      <c r="O53" s="13"/>
    </row>
    <row r="54" spans="2:15" ht="15" customHeight="1" x14ac:dyDescent="0.25">
      <c r="C54" s="13" t="s">
        <v>113</v>
      </c>
      <c r="D54" s="13"/>
      <c r="E54" s="13"/>
      <c r="F54" s="13"/>
      <c r="G54" s="13"/>
      <c r="H54" s="13"/>
      <c r="L54" s="13"/>
      <c r="M54" s="13"/>
      <c r="N54" s="13"/>
      <c r="O54" s="13"/>
    </row>
    <row r="55" spans="2:15" x14ac:dyDescent="0.25">
      <c r="C55" s="13"/>
      <c r="D55" s="13"/>
      <c r="E55" s="13"/>
      <c r="F55" s="13"/>
      <c r="G55" s="13"/>
      <c r="H55" s="13"/>
      <c r="L55" s="13"/>
      <c r="M55" s="13"/>
      <c r="N55" s="13"/>
      <c r="O55" s="13"/>
    </row>
    <row r="56" spans="2:15" x14ac:dyDescent="0.25">
      <c r="C56" s="13"/>
      <c r="D56" s="13"/>
      <c r="E56" s="13"/>
      <c r="F56" s="13"/>
      <c r="G56" s="13"/>
      <c r="H56" s="13"/>
      <c r="L56" s="13"/>
      <c r="M56" s="13"/>
      <c r="N56" s="13"/>
      <c r="O56" s="13"/>
    </row>
    <row r="57" spans="2:15" x14ac:dyDescent="0.25">
      <c r="C57" s="13"/>
      <c r="D57" s="13"/>
      <c r="E57" s="13"/>
      <c r="F57" s="13"/>
      <c r="G57" s="13"/>
      <c r="H57" s="13"/>
      <c r="L57" s="13"/>
      <c r="M57" s="13"/>
      <c r="N57" s="13"/>
      <c r="O57" s="13"/>
    </row>
    <row r="58" spans="2:15" x14ac:dyDescent="0.25">
      <c r="C58" s="13"/>
      <c r="D58" s="13"/>
      <c r="E58" s="13"/>
      <c r="F58" s="13"/>
      <c r="G58" s="13"/>
      <c r="H58" s="13"/>
      <c r="L58" s="13"/>
      <c r="M58" s="13"/>
      <c r="N58" s="13"/>
      <c r="O58" s="13"/>
    </row>
    <row r="59" spans="2:15" x14ac:dyDescent="0.25">
      <c r="C59" s="13"/>
      <c r="D59" s="13"/>
      <c r="E59" s="13"/>
      <c r="F59" s="13"/>
      <c r="G59" s="13"/>
      <c r="H59" s="13"/>
      <c r="L59" s="13"/>
      <c r="M59" s="13"/>
      <c r="N59" s="13"/>
      <c r="O59" s="13"/>
    </row>
    <row r="60" spans="2:15" x14ac:dyDescent="0.25">
      <c r="C60" s="13"/>
      <c r="D60" s="13"/>
      <c r="E60" s="13"/>
      <c r="F60" s="13"/>
      <c r="G60" s="13"/>
      <c r="H60" s="13"/>
      <c r="L60" s="13"/>
      <c r="M60" s="13"/>
      <c r="N60" s="13"/>
      <c r="O60" s="13"/>
    </row>
    <row r="61" spans="2:15" x14ac:dyDescent="0.25">
      <c r="C61" s="13"/>
      <c r="D61" s="13"/>
      <c r="E61" s="13"/>
      <c r="F61" s="13"/>
      <c r="G61" s="13"/>
      <c r="H61" s="13"/>
      <c r="L61" s="13"/>
      <c r="M61" s="13"/>
      <c r="N61" s="13"/>
      <c r="O61" s="13"/>
    </row>
    <row r="62" spans="2:15" x14ac:dyDescent="0.25">
      <c r="C62" s="13"/>
      <c r="D62" s="13"/>
      <c r="E62" s="13"/>
      <c r="F62" s="13"/>
      <c r="G62" s="13"/>
      <c r="H62" s="13"/>
      <c r="L62" s="13"/>
      <c r="M62" s="13"/>
      <c r="N62" s="13"/>
      <c r="O62" s="13"/>
    </row>
    <row r="63" spans="2:15" x14ac:dyDescent="0.25">
      <c r="C63" s="13"/>
      <c r="D63" s="13"/>
      <c r="E63" s="13"/>
      <c r="F63" s="13"/>
      <c r="G63" s="13"/>
      <c r="H63" s="13"/>
      <c r="L63" s="13"/>
      <c r="M63" s="13"/>
      <c r="N63" s="13"/>
      <c r="O63" s="13"/>
    </row>
    <row r="67" spans="2:16" x14ac:dyDescent="0.25">
      <c r="B67" t="s">
        <v>101</v>
      </c>
      <c r="C67" t="s">
        <v>86</v>
      </c>
      <c r="O67" t="s">
        <v>87</v>
      </c>
      <c r="P67" t="s">
        <v>101</v>
      </c>
    </row>
    <row r="68" spans="2:16" x14ac:dyDescent="0.25">
      <c r="C68" s="13" t="s">
        <v>115</v>
      </c>
      <c r="D68" s="13"/>
      <c r="E68" s="13"/>
      <c r="F68" s="13"/>
      <c r="G68" s="13"/>
      <c r="H68" s="13"/>
      <c r="K68" s="13" t="s">
        <v>116</v>
      </c>
      <c r="L68" s="13"/>
      <c r="M68" s="13"/>
      <c r="N68" s="13"/>
      <c r="O68" s="13"/>
    </row>
    <row r="69" spans="2:16" x14ac:dyDescent="0.25">
      <c r="C69" s="13"/>
      <c r="D69" s="13"/>
      <c r="E69" s="13"/>
      <c r="F69" s="13"/>
      <c r="G69" s="13"/>
      <c r="H69" s="13"/>
      <c r="K69" s="13"/>
      <c r="L69" s="13"/>
      <c r="M69" s="13"/>
      <c r="N69" s="13"/>
      <c r="O69" s="13"/>
    </row>
    <row r="70" spans="2:16" x14ac:dyDescent="0.25">
      <c r="C70" s="13"/>
      <c r="D70" s="13"/>
      <c r="E70" s="13"/>
      <c r="F70" s="13"/>
      <c r="G70" s="13"/>
      <c r="H70" s="13"/>
      <c r="K70" s="13"/>
      <c r="L70" s="13"/>
      <c r="M70" s="13"/>
      <c r="N70" s="13"/>
      <c r="O70" s="13"/>
    </row>
    <row r="71" spans="2:16" x14ac:dyDescent="0.25">
      <c r="C71" s="13"/>
      <c r="D71" s="13"/>
      <c r="E71" s="13"/>
      <c r="F71" s="13"/>
      <c r="G71" s="13"/>
      <c r="H71" s="13"/>
      <c r="K71" s="13"/>
      <c r="L71" s="13"/>
      <c r="M71" s="13"/>
      <c r="N71" s="13"/>
      <c r="O71" s="13"/>
    </row>
    <row r="72" spans="2:16" x14ac:dyDescent="0.25">
      <c r="C72" s="13"/>
      <c r="D72" s="13"/>
      <c r="E72" s="13"/>
      <c r="F72" s="13"/>
      <c r="G72" s="13"/>
      <c r="H72" s="13"/>
      <c r="K72" s="13"/>
      <c r="L72" s="13"/>
      <c r="M72" s="13"/>
      <c r="N72" s="13"/>
      <c r="O72" s="13"/>
    </row>
    <row r="73" spans="2:16" x14ac:dyDescent="0.25">
      <c r="C73" s="13"/>
      <c r="D73" s="13"/>
      <c r="E73" s="13"/>
      <c r="F73" s="13"/>
      <c r="G73" s="13"/>
      <c r="H73" s="13"/>
      <c r="K73" s="13"/>
      <c r="L73" s="13"/>
      <c r="M73" s="13"/>
      <c r="N73" s="13"/>
      <c r="O73" s="13"/>
    </row>
    <row r="74" spans="2:16" x14ac:dyDescent="0.25">
      <c r="C74" s="13"/>
      <c r="D74" s="13"/>
      <c r="E74" s="13"/>
      <c r="F74" s="13"/>
      <c r="G74" s="13"/>
      <c r="H74" s="13"/>
      <c r="K74" s="13"/>
      <c r="L74" s="13"/>
      <c r="M74" s="13"/>
      <c r="N74" s="13"/>
      <c r="O74" s="13"/>
    </row>
    <row r="75" spans="2:16" x14ac:dyDescent="0.25">
      <c r="C75" s="13"/>
      <c r="D75" s="13"/>
      <c r="E75" s="13"/>
      <c r="F75" s="13"/>
      <c r="G75" s="13"/>
      <c r="H75" s="13"/>
      <c r="K75" s="13"/>
      <c r="L75" s="13"/>
      <c r="M75" s="13"/>
      <c r="N75" s="13"/>
      <c r="O75" s="13"/>
    </row>
    <row r="76" spans="2:16" x14ac:dyDescent="0.25">
      <c r="C76" s="13"/>
      <c r="D76" s="13"/>
      <c r="E76" s="13"/>
      <c r="F76" s="13"/>
      <c r="G76" s="13"/>
      <c r="H76" s="13"/>
      <c r="K76" s="13"/>
      <c r="L76" s="13"/>
      <c r="M76" s="13"/>
      <c r="N76" s="13"/>
      <c r="O76" s="13"/>
    </row>
    <row r="77" spans="2:16" x14ac:dyDescent="0.25">
      <c r="K77" s="13"/>
      <c r="L77" s="13"/>
      <c r="M77" s="13"/>
      <c r="N77" s="13"/>
      <c r="O77" s="13"/>
    </row>
    <row r="81" spans="2:16" x14ac:dyDescent="0.25">
      <c r="B81" t="s">
        <v>101</v>
      </c>
      <c r="C81" t="s">
        <v>88</v>
      </c>
      <c r="O81" t="s">
        <v>89</v>
      </c>
      <c r="P81" t="s">
        <v>101</v>
      </c>
    </row>
    <row r="82" spans="2:16" x14ac:dyDescent="0.25">
      <c r="C82" s="13" t="s">
        <v>117</v>
      </c>
      <c r="D82" s="13"/>
      <c r="E82" s="13"/>
      <c r="F82" s="13"/>
      <c r="G82" s="13"/>
      <c r="H82" s="13"/>
      <c r="K82" s="13" t="s">
        <v>118</v>
      </c>
      <c r="L82" s="13"/>
      <c r="M82" s="13"/>
      <c r="N82" s="13"/>
      <c r="O82" s="13"/>
    </row>
    <row r="83" spans="2:16" x14ac:dyDescent="0.25">
      <c r="C83" s="13"/>
      <c r="D83" s="13"/>
      <c r="E83" s="13"/>
      <c r="F83" s="13"/>
      <c r="G83" s="13"/>
      <c r="H83" s="13"/>
      <c r="K83" s="13"/>
      <c r="L83" s="13"/>
      <c r="M83" s="13"/>
      <c r="N83" s="13"/>
      <c r="O83" s="13"/>
    </row>
    <row r="84" spans="2:16" x14ac:dyDescent="0.25">
      <c r="C84" s="13"/>
      <c r="D84" s="13"/>
      <c r="E84" s="13"/>
      <c r="F84" s="13"/>
      <c r="G84" s="13"/>
      <c r="H84" s="13"/>
      <c r="K84" s="13"/>
      <c r="L84" s="13"/>
      <c r="M84" s="13"/>
      <c r="N84" s="13"/>
      <c r="O84" s="13"/>
    </row>
    <row r="85" spans="2:16" x14ac:dyDescent="0.25">
      <c r="C85" s="13"/>
      <c r="D85" s="13"/>
      <c r="E85" s="13"/>
      <c r="F85" s="13"/>
      <c r="G85" s="13"/>
      <c r="H85" s="13"/>
      <c r="K85" s="13"/>
      <c r="L85" s="13"/>
      <c r="M85" s="13"/>
      <c r="N85" s="13"/>
      <c r="O85" s="13"/>
    </row>
    <row r="86" spans="2:16" x14ac:dyDescent="0.25">
      <c r="C86" s="13"/>
      <c r="D86" s="13"/>
      <c r="E86" s="13"/>
      <c r="F86" s="13"/>
      <c r="G86" s="13"/>
      <c r="H86" s="13"/>
      <c r="K86" s="13"/>
      <c r="L86" s="13"/>
      <c r="M86" s="13"/>
      <c r="N86" s="13"/>
      <c r="O86" s="13"/>
    </row>
    <row r="87" spans="2:16" x14ac:dyDescent="0.25">
      <c r="C87" s="13"/>
      <c r="D87" s="13"/>
      <c r="E87" s="13"/>
      <c r="F87" s="13"/>
      <c r="G87" s="13"/>
      <c r="H87" s="13"/>
      <c r="K87" s="13"/>
      <c r="L87" s="13"/>
      <c r="M87" s="13"/>
      <c r="N87" s="13"/>
      <c r="O87" s="13"/>
    </row>
    <row r="88" spans="2:16" x14ac:dyDescent="0.25">
      <c r="C88" s="13"/>
      <c r="D88" s="13"/>
      <c r="E88" s="13"/>
      <c r="F88" s="13"/>
      <c r="G88" s="13"/>
      <c r="H88" s="13"/>
      <c r="K88" s="13"/>
      <c r="L88" s="13"/>
      <c r="M88" s="13"/>
      <c r="N88" s="13"/>
      <c r="O88" s="13"/>
    </row>
    <row r="89" spans="2:16" x14ac:dyDescent="0.25">
      <c r="C89" s="13"/>
      <c r="D89" s="13"/>
      <c r="E89" s="13"/>
      <c r="F89" s="13"/>
      <c r="G89" s="13"/>
      <c r="H89" s="13"/>
      <c r="K89" s="13"/>
      <c r="L89" s="13"/>
      <c r="M89" s="13"/>
      <c r="N89" s="13"/>
      <c r="O89" s="13"/>
    </row>
    <row r="90" spans="2:16" x14ac:dyDescent="0.25">
      <c r="K90" s="13"/>
      <c r="L90" s="13"/>
      <c r="M90" s="13"/>
      <c r="N90" s="13"/>
      <c r="O90" s="13"/>
    </row>
    <row r="93" spans="2:16" x14ac:dyDescent="0.25">
      <c r="B93" t="s">
        <v>101</v>
      </c>
      <c r="C93" t="s">
        <v>90</v>
      </c>
      <c r="O93" t="s">
        <v>91</v>
      </c>
      <c r="P93" t="s">
        <v>101</v>
      </c>
    </row>
    <row r="94" spans="2:16" x14ac:dyDescent="0.25">
      <c r="C94" s="13" t="s">
        <v>119</v>
      </c>
      <c r="D94" s="13"/>
      <c r="E94" s="13"/>
      <c r="F94" s="13"/>
      <c r="G94" s="13"/>
      <c r="H94" s="13"/>
      <c r="K94" s="13" t="s">
        <v>120</v>
      </c>
      <c r="L94" s="13"/>
      <c r="M94" s="13"/>
      <c r="N94" s="13"/>
      <c r="O94" s="13"/>
    </row>
    <row r="95" spans="2:16" x14ac:dyDescent="0.25">
      <c r="C95" s="13"/>
      <c r="D95" s="13"/>
      <c r="E95" s="13"/>
      <c r="F95" s="13"/>
      <c r="G95" s="13"/>
      <c r="H95" s="13"/>
      <c r="K95" s="13"/>
      <c r="L95" s="13"/>
      <c r="M95" s="13"/>
      <c r="N95" s="13"/>
      <c r="O95" s="13"/>
    </row>
    <row r="96" spans="2:16" x14ac:dyDescent="0.25">
      <c r="C96" s="13"/>
      <c r="D96" s="13"/>
      <c r="E96" s="13"/>
      <c r="F96" s="13"/>
      <c r="G96" s="13"/>
      <c r="H96" s="13"/>
      <c r="K96" s="13"/>
      <c r="L96" s="13"/>
      <c r="M96" s="13"/>
      <c r="N96" s="13"/>
      <c r="O96" s="13"/>
    </row>
    <row r="97" spans="2:18" x14ac:dyDescent="0.25">
      <c r="C97" s="13"/>
      <c r="D97" s="13"/>
      <c r="E97" s="13"/>
      <c r="F97" s="13"/>
      <c r="G97" s="13"/>
      <c r="H97" s="13"/>
      <c r="K97" s="13"/>
      <c r="L97" s="13"/>
      <c r="M97" s="13"/>
      <c r="N97" s="13"/>
      <c r="O97" s="13"/>
    </row>
    <row r="98" spans="2:18" x14ac:dyDescent="0.25">
      <c r="C98" s="13"/>
      <c r="D98" s="13"/>
      <c r="E98" s="13"/>
      <c r="F98" s="13"/>
      <c r="G98" s="13"/>
      <c r="H98" s="13"/>
      <c r="K98" s="13"/>
      <c r="L98" s="13"/>
      <c r="M98" s="13"/>
      <c r="N98" s="13"/>
      <c r="O98" s="13"/>
    </row>
    <row r="99" spans="2:18" x14ac:dyDescent="0.25">
      <c r="C99" s="13"/>
      <c r="D99" s="13"/>
      <c r="E99" s="13"/>
      <c r="F99" s="13"/>
      <c r="G99" s="13"/>
      <c r="H99" s="13"/>
      <c r="K99" s="13"/>
      <c r="L99" s="13"/>
      <c r="M99" s="13"/>
      <c r="N99" s="13"/>
      <c r="O99" s="13"/>
    </row>
    <row r="100" spans="2:18" x14ac:dyDescent="0.25">
      <c r="C100" s="13"/>
      <c r="D100" s="13"/>
      <c r="E100" s="13"/>
      <c r="F100" s="13"/>
      <c r="G100" s="13"/>
      <c r="H100" s="13"/>
      <c r="K100" s="13"/>
      <c r="L100" s="13"/>
      <c r="M100" s="13"/>
      <c r="N100" s="13"/>
      <c r="O100" s="13"/>
    </row>
    <row r="101" spans="2:18" x14ac:dyDescent="0.25">
      <c r="C101" s="13"/>
      <c r="D101" s="13"/>
      <c r="E101" s="13"/>
      <c r="F101" s="13"/>
      <c r="G101" s="13"/>
      <c r="H101" s="13"/>
      <c r="K101" s="13"/>
      <c r="L101" s="13"/>
      <c r="M101" s="13"/>
      <c r="N101" s="13"/>
      <c r="O101" s="13"/>
    </row>
    <row r="102" spans="2:18" x14ac:dyDescent="0.25">
      <c r="C102" s="13"/>
      <c r="D102" s="13"/>
      <c r="E102" s="13"/>
      <c r="F102" s="13"/>
      <c r="G102" s="13"/>
      <c r="H102" s="13"/>
      <c r="K102" s="13"/>
      <c r="L102" s="13"/>
      <c r="M102" s="13"/>
      <c r="N102" s="13"/>
      <c r="O102" s="13"/>
    </row>
    <row r="103" spans="2:18" x14ac:dyDescent="0.25">
      <c r="C103" s="13"/>
      <c r="D103" s="13"/>
      <c r="E103" s="13"/>
      <c r="F103" s="13"/>
      <c r="G103" s="13"/>
      <c r="H103" s="13"/>
      <c r="K103" s="13"/>
      <c r="L103" s="13"/>
      <c r="M103" s="13"/>
      <c r="N103" s="13"/>
      <c r="O103" s="13"/>
    </row>
    <row r="107" spans="2:18" x14ac:dyDescent="0.25">
      <c r="B107" t="s">
        <v>101</v>
      </c>
      <c r="C107" t="s">
        <v>92</v>
      </c>
      <c r="Q107" t="s">
        <v>93</v>
      </c>
      <c r="R107" t="s">
        <v>101</v>
      </c>
    </row>
    <row r="108" spans="2:18" x14ac:dyDescent="0.25">
      <c r="C108" s="13" t="s">
        <v>121</v>
      </c>
      <c r="D108" s="13"/>
      <c r="E108" s="13"/>
      <c r="F108" s="13"/>
      <c r="G108" s="13"/>
      <c r="H108" s="13"/>
      <c r="I108" s="13"/>
      <c r="J108" s="13"/>
      <c r="L108" s="13" t="s">
        <v>122</v>
      </c>
      <c r="M108" s="13"/>
      <c r="N108" s="13"/>
      <c r="O108" s="13"/>
      <c r="P108" s="13"/>
      <c r="Q108" s="13"/>
    </row>
    <row r="109" spans="2:18" x14ac:dyDescent="0.25">
      <c r="C109" s="13"/>
      <c r="D109" s="13"/>
      <c r="E109" s="13"/>
      <c r="F109" s="13"/>
      <c r="G109" s="13"/>
      <c r="H109" s="13"/>
      <c r="I109" s="13"/>
      <c r="J109" s="13"/>
      <c r="L109" s="13"/>
      <c r="M109" s="13"/>
      <c r="N109" s="13"/>
      <c r="O109" s="13"/>
      <c r="P109" s="13"/>
      <c r="Q109" s="13"/>
    </row>
    <row r="110" spans="2:18" x14ac:dyDescent="0.25">
      <c r="C110" s="13"/>
      <c r="D110" s="13"/>
      <c r="E110" s="13"/>
      <c r="F110" s="13"/>
      <c r="G110" s="13"/>
      <c r="H110" s="13"/>
      <c r="I110" s="13"/>
      <c r="J110" s="13"/>
      <c r="L110" s="13"/>
      <c r="M110" s="13"/>
      <c r="N110" s="13"/>
      <c r="O110" s="13"/>
      <c r="P110" s="13"/>
      <c r="Q110" s="13"/>
    </row>
    <row r="111" spans="2:18" x14ac:dyDescent="0.25">
      <c r="C111" s="13"/>
      <c r="D111" s="13"/>
      <c r="E111" s="13"/>
      <c r="F111" s="13"/>
      <c r="G111" s="13"/>
      <c r="H111" s="13"/>
      <c r="I111" s="13"/>
      <c r="J111" s="13"/>
      <c r="L111" s="13"/>
      <c r="M111" s="13"/>
      <c r="N111" s="13"/>
      <c r="O111" s="13"/>
      <c r="P111" s="13"/>
      <c r="Q111" s="13"/>
    </row>
    <row r="112" spans="2:18" x14ac:dyDescent="0.25">
      <c r="C112" s="13"/>
      <c r="D112" s="13"/>
      <c r="E112" s="13"/>
      <c r="F112" s="13"/>
      <c r="G112" s="13"/>
      <c r="H112" s="13"/>
      <c r="I112" s="13"/>
      <c r="J112" s="13"/>
      <c r="L112" s="13"/>
      <c r="M112" s="13"/>
      <c r="N112" s="13"/>
      <c r="O112" s="13"/>
      <c r="P112" s="13"/>
      <c r="Q112" s="13"/>
    </row>
    <row r="113" spans="3:17" x14ac:dyDescent="0.25">
      <c r="C113" s="13"/>
      <c r="D113" s="13"/>
      <c r="E113" s="13"/>
      <c r="F113" s="13"/>
      <c r="G113" s="13"/>
      <c r="H113" s="13"/>
      <c r="I113" s="13"/>
      <c r="J113" s="13"/>
      <c r="L113" s="13"/>
      <c r="M113" s="13"/>
      <c r="N113" s="13"/>
      <c r="O113" s="13"/>
      <c r="P113" s="13"/>
      <c r="Q113" s="13"/>
    </row>
    <row r="114" spans="3:17" x14ac:dyDescent="0.25">
      <c r="C114" s="13"/>
      <c r="D114" s="13"/>
      <c r="E114" s="13"/>
      <c r="F114" s="13"/>
      <c r="G114" s="13"/>
      <c r="H114" s="13"/>
      <c r="I114" s="13"/>
      <c r="J114" s="13"/>
      <c r="L114" s="13"/>
      <c r="M114" s="13"/>
      <c r="N114" s="13"/>
      <c r="O114" s="13"/>
      <c r="P114" s="13"/>
      <c r="Q114" s="13"/>
    </row>
    <row r="115" spans="3:17" x14ac:dyDescent="0.25">
      <c r="C115" s="13"/>
      <c r="D115" s="13"/>
      <c r="E115" s="13"/>
      <c r="F115" s="13"/>
      <c r="G115" s="13"/>
      <c r="H115" s="13"/>
      <c r="I115" s="13"/>
      <c r="J115" s="13"/>
      <c r="L115" s="13"/>
      <c r="M115" s="13"/>
      <c r="N115" s="13"/>
      <c r="O115" s="13"/>
      <c r="P115" s="13"/>
      <c r="Q115" s="13"/>
    </row>
    <row r="116" spans="3:17" x14ac:dyDescent="0.25">
      <c r="C116" s="13"/>
      <c r="D116" s="13"/>
      <c r="E116" s="13"/>
      <c r="F116" s="13"/>
      <c r="G116" s="13"/>
      <c r="H116" s="13"/>
      <c r="I116" s="13"/>
      <c r="J116" s="13"/>
      <c r="L116" s="13"/>
      <c r="M116" s="13"/>
      <c r="N116" s="13"/>
      <c r="O116" s="13"/>
      <c r="P116" s="13"/>
      <c r="Q116" s="13"/>
    </row>
    <row r="117" spans="3:17" x14ac:dyDescent="0.25">
      <c r="C117" s="13"/>
      <c r="D117" s="13"/>
      <c r="E117" s="13"/>
      <c r="F117" s="13"/>
      <c r="G117" s="13"/>
      <c r="H117" s="13"/>
      <c r="I117" s="13"/>
      <c r="J117" s="13"/>
      <c r="L117" s="13"/>
      <c r="M117" s="13"/>
      <c r="N117" s="13"/>
      <c r="O117" s="13"/>
      <c r="P117" s="13"/>
      <c r="Q117" s="13"/>
    </row>
  </sheetData>
  <mergeCells count="23">
    <mergeCell ref="C108:J117"/>
    <mergeCell ref="L108:Q117"/>
    <mergeCell ref="O14:R27"/>
    <mergeCell ref="C68:H76"/>
    <mergeCell ref="K68:O77"/>
    <mergeCell ref="C82:H89"/>
    <mergeCell ref="K82:O90"/>
    <mergeCell ref="C94:H103"/>
    <mergeCell ref="K94:O103"/>
    <mergeCell ref="C43:G43"/>
    <mergeCell ref="L43:O43"/>
    <mergeCell ref="C44:F48"/>
    <mergeCell ref="L44:O48"/>
    <mergeCell ref="C54:H63"/>
    <mergeCell ref="L53:O63"/>
    <mergeCell ref="C32:K32"/>
    <mergeCell ref="L32:O32"/>
    <mergeCell ref="C33:F40"/>
    <mergeCell ref="L33:O40"/>
    <mergeCell ref="C14:E14"/>
    <mergeCell ref="G14:K14"/>
    <mergeCell ref="C15:E29"/>
    <mergeCell ref="F15:K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FII</vt:lpstr>
      <vt:lpstr>FII2</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 Mohamed</dc:creator>
  <cp:lastModifiedBy>تسنيم محمد فتحي غريب شرف الدين</cp:lastModifiedBy>
  <dcterms:created xsi:type="dcterms:W3CDTF">2025-07-21T09:59:32Z</dcterms:created>
  <dcterms:modified xsi:type="dcterms:W3CDTF">2025-11-11T20:17:55Z</dcterms:modified>
</cp:coreProperties>
</file>